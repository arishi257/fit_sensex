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\projects\fit_sensex\"/>
    </mc:Choice>
  </mc:AlternateContent>
  <xr:revisionPtr revIDLastSave="0" documentId="13_ncr:1_{42C555F0-E171-445A-88F0-C9D85A596B8D}" xr6:coauthVersionLast="47" xr6:coauthVersionMax="47" xr10:uidLastSave="{00000000-0000-0000-0000-000000000000}"/>
  <bookViews>
    <workbookView xWindow="57480" yWindow="-120" windowWidth="29040" windowHeight="15720" activeTab="1" xr2:uid="{9BA601C2-EC50-4BAB-A3C9-5F4284071222}"/>
  </bookViews>
  <sheets>
    <sheet name="hols " sheetId="2" r:id="rId1"/>
    <sheet name="params" sheetId="1" r:id="rId2"/>
  </sheets>
  <definedNames>
    <definedName name="CE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" i="2" l="1"/>
  <c r="D25" i="2"/>
  <c r="D21" i="2"/>
  <c r="D33" i="2"/>
  <c r="B33" i="2"/>
  <c r="D32" i="2"/>
  <c r="B32" i="2"/>
  <c r="D31" i="2"/>
  <c r="B31" i="2"/>
  <c r="B30" i="2"/>
  <c r="D29" i="2"/>
  <c r="B29" i="2"/>
  <c r="D28" i="2"/>
  <c r="B28" i="2"/>
  <c r="D27" i="2"/>
  <c r="B27" i="2"/>
  <c r="D26" i="2"/>
  <c r="B26" i="2"/>
  <c r="D24" i="2"/>
  <c r="B24" i="2"/>
  <c r="D23" i="2"/>
  <c r="B23" i="2"/>
  <c r="D22" i="2"/>
  <c r="B22" i="2"/>
  <c r="B21" i="2"/>
  <c r="D20" i="2"/>
  <c r="B20" i="2"/>
  <c r="D19" i="2"/>
  <c r="B19" i="2"/>
  <c r="D18" i="2"/>
  <c r="B18" i="2"/>
  <c r="D17" i="2"/>
  <c r="B17" i="2"/>
  <c r="D16" i="2"/>
  <c r="B16" i="2"/>
  <c r="D15" i="2"/>
  <c r="D14" i="2"/>
  <c r="D13" i="2"/>
  <c r="D12" i="2"/>
  <c r="D11" i="2"/>
  <c r="D10" i="2"/>
  <c r="D9" i="2"/>
  <c r="D8" i="2"/>
  <c r="D7" i="2"/>
  <c r="D6" i="2"/>
  <c r="D5" i="2"/>
  <c r="L110" i="2"/>
  <c r="L109" i="2"/>
  <c r="L103" i="2"/>
  <c r="L102" i="2"/>
  <c r="L96" i="2"/>
  <c r="L95" i="2"/>
  <c r="L89" i="2"/>
  <c r="L88" i="2"/>
  <c r="A3" i="2"/>
  <c r="H3" i="2"/>
  <c r="G3" i="2" s="1"/>
  <c r="J2" i="2"/>
  <c r="I2" i="2"/>
  <c r="K2" i="2" s="1"/>
  <c r="L2" i="2" s="1"/>
  <c r="G2" i="2"/>
  <c r="D36" i="2" l="1"/>
  <c r="B36" i="2"/>
  <c r="B37" i="2"/>
  <c r="D37" i="2"/>
  <c r="B35" i="2"/>
  <c r="D35" i="2"/>
  <c r="D34" i="2"/>
  <c r="B34" i="2"/>
  <c r="B25" i="2"/>
  <c r="H4" i="2"/>
  <c r="H5" i="2" s="1"/>
  <c r="J5" i="2" s="1"/>
  <c r="I5" i="2"/>
  <c r="G5" i="2"/>
  <c r="H6" i="2"/>
  <c r="M2" i="2"/>
  <c r="G4" i="2"/>
  <c r="I4" i="2"/>
  <c r="J4" i="2"/>
  <c r="I3" i="2"/>
  <c r="J3" i="2"/>
  <c r="D39" i="2" l="1"/>
  <c r="B39" i="2"/>
  <c r="D38" i="2"/>
  <c r="B38" i="2"/>
  <c r="K5" i="2"/>
  <c r="L5" i="2" s="1"/>
  <c r="K4" i="2"/>
  <c r="L4" i="2" s="1"/>
  <c r="K3" i="2"/>
  <c r="L3" i="2" s="1"/>
  <c r="G6" i="2"/>
  <c r="H7" i="2"/>
  <c r="J6" i="2"/>
  <c r="I6" i="2"/>
  <c r="K6" i="2" s="1"/>
  <c r="L6" i="2" s="1"/>
  <c r="D40" i="2" l="1"/>
  <c r="B40" i="2"/>
  <c r="D41" i="2"/>
  <c r="B41" i="2"/>
  <c r="M3" i="2"/>
  <c r="M4" i="2" s="1"/>
  <c r="M5" i="2" s="1"/>
  <c r="M6" i="2" s="1"/>
  <c r="H8" i="2"/>
  <c r="J7" i="2"/>
  <c r="I7" i="2"/>
  <c r="K7" i="2" s="1"/>
  <c r="L7" i="2" s="1"/>
  <c r="G7" i="2"/>
  <c r="D43" i="2" l="1"/>
  <c r="B43" i="2"/>
  <c r="D42" i="2"/>
  <c r="B42" i="2"/>
  <c r="H9" i="2"/>
  <c r="J8" i="2"/>
  <c r="I8" i="2"/>
  <c r="G8" i="2"/>
  <c r="M7" i="2"/>
  <c r="B44" i="2" l="1"/>
  <c r="D44" i="2"/>
  <c r="D45" i="2"/>
  <c r="B45" i="2"/>
  <c r="K8" i="2"/>
  <c r="L8" i="2" s="1"/>
  <c r="M8" i="2" s="1"/>
  <c r="J9" i="2"/>
  <c r="I9" i="2"/>
  <c r="G9" i="2"/>
  <c r="H10" i="2"/>
  <c r="D46" i="2" l="1"/>
  <c r="B46" i="2"/>
  <c r="D47" i="2"/>
  <c r="B47" i="2"/>
  <c r="K9" i="2"/>
  <c r="L9" i="2" s="1"/>
  <c r="H11" i="2"/>
  <c r="J10" i="2"/>
  <c r="I10" i="2"/>
  <c r="G10" i="2"/>
  <c r="M9" i="2"/>
  <c r="D49" i="2" l="1"/>
  <c r="B49" i="2"/>
  <c r="D48" i="2"/>
  <c r="B48" i="2"/>
  <c r="H12" i="2"/>
  <c r="J11" i="2"/>
  <c r="I11" i="2"/>
  <c r="K11" i="2" s="1"/>
  <c r="L11" i="2" s="1"/>
  <c r="G11" i="2"/>
  <c r="K10" i="2"/>
  <c r="L10" i="2" s="1"/>
  <c r="D50" i="2" l="1"/>
  <c r="B50" i="2"/>
  <c r="B51" i="2"/>
  <c r="D51" i="2"/>
  <c r="H13" i="2"/>
  <c r="J12" i="2"/>
  <c r="I12" i="2"/>
  <c r="G12" i="2"/>
  <c r="M10" i="2"/>
  <c r="M11" i="2" s="1"/>
  <c r="D53" i="2" l="1"/>
  <c r="B53" i="2"/>
  <c r="D52" i="2"/>
  <c r="B52" i="2"/>
  <c r="J13" i="2"/>
  <c r="I13" i="2"/>
  <c r="G13" i="2"/>
  <c r="H14" i="2"/>
  <c r="K12" i="2"/>
  <c r="L12" i="2" s="1"/>
  <c r="D54" i="2" l="1"/>
  <c r="B54" i="2"/>
  <c r="B55" i="2"/>
  <c r="D55" i="2"/>
  <c r="M12" i="2"/>
  <c r="H15" i="2"/>
  <c r="J14" i="2"/>
  <c r="I14" i="2"/>
  <c r="G14" i="2"/>
  <c r="K13" i="2"/>
  <c r="L13" i="2" s="1"/>
  <c r="D57" i="2" l="1"/>
  <c r="B57" i="2"/>
  <c r="B56" i="2"/>
  <c r="D56" i="2"/>
  <c r="H16" i="2"/>
  <c r="I15" i="2"/>
  <c r="G15" i="2"/>
  <c r="J15" i="2"/>
  <c r="M13" i="2"/>
  <c r="K14" i="2"/>
  <c r="L14" i="2" s="1"/>
  <c r="B58" i="2" l="1"/>
  <c r="D58" i="2"/>
  <c r="D59" i="2"/>
  <c r="B59" i="2"/>
  <c r="M14" i="2"/>
  <c r="K15" i="2"/>
  <c r="L15" i="2" s="1"/>
  <c r="I16" i="2"/>
  <c r="H17" i="2"/>
  <c r="J16" i="2"/>
  <c r="G16" i="2"/>
  <c r="D61" i="2" l="1"/>
  <c r="B61" i="2"/>
  <c r="B60" i="2"/>
  <c r="D60" i="2"/>
  <c r="H18" i="2"/>
  <c r="J17" i="2"/>
  <c r="I17" i="2"/>
  <c r="G17" i="2"/>
  <c r="K16" i="2"/>
  <c r="L16" i="2" s="1"/>
  <c r="M15" i="2"/>
  <c r="B63" i="2" l="1"/>
  <c r="D63" i="2"/>
  <c r="B62" i="2"/>
  <c r="D62" i="2"/>
  <c r="K17" i="2"/>
  <c r="L17" i="2" s="1"/>
  <c r="G18" i="2"/>
  <c r="I18" i="2"/>
  <c r="J18" i="2"/>
  <c r="H19" i="2"/>
  <c r="M16" i="2"/>
  <c r="M17" i="2"/>
  <c r="D64" i="2" l="1"/>
  <c r="B64" i="2"/>
  <c r="B65" i="2"/>
  <c r="D65" i="2"/>
  <c r="K18" i="2"/>
  <c r="L18" i="2" s="1"/>
  <c r="H20" i="2"/>
  <c r="J19" i="2"/>
  <c r="I19" i="2"/>
  <c r="G19" i="2"/>
  <c r="M18" i="2"/>
  <c r="B66" i="2" l="1"/>
  <c r="D66" i="2"/>
  <c r="D67" i="2"/>
  <c r="B67" i="2"/>
  <c r="K19" i="2"/>
  <c r="L19" i="2" s="1"/>
  <c r="M19" i="2" s="1"/>
  <c r="G20" i="2"/>
  <c r="I20" i="2"/>
  <c r="J20" i="2"/>
  <c r="H21" i="2"/>
  <c r="D69" i="2" l="1"/>
  <c r="B69" i="2"/>
  <c r="D68" i="2"/>
  <c r="B68" i="2"/>
  <c r="H22" i="2"/>
  <c r="G21" i="2"/>
  <c r="J21" i="2"/>
  <c r="I21" i="2"/>
  <c r="K21" i="2" s="1"/>
  <c r="L21" i="2" s="1"/>
  <c r="K20" i="2"/>
  <c r="L20" i="2" s="1"/>
  <c r="M20" i="2" s="1"/>
  <c r="B70" i="2" l="1"/>
  <c r="D70" i="2"/>
  <c r="D71" i="2"/>
  <c r="B71" i="2"/>
  <c r="M21" i="2"/>
  <c r="G22" i="2"/>
  <c r="J22" i="2"/>
  <c r="I22" i="2"/>
  <c r="K22" i="2" s="1"/>
  <c r="L22" i="2" s="1"/>
  <c r="M22" i="2" s="1"/>
  <c r="H23" i="2"/>
  <c r="B72" i="2" l="1"/>
  <c r="D72" i="2"/>
  <c r="H24" i="2"/>
  <c r="J23" i="2"/>
  <c r="I23" i="2"/>
  <c r="G23" i="2"/>
  <c r="K23" i="2" l="1"/>
  <c r="L23" i="2" s="1"/>
  <c r="M23" i="2" s="1"/>
  <c r="G24" i="2"/>
  <c r="I24" i="2"/>
  <c r="J24" i="2"/>
  <c r="H25" i="2"/>
  <c r="J25" i="2" l="1"/>
  <c r="I25" i="2"/>
  <c r="G25" i="2"/>
  <c r="H26" i="2"/>
  <c r="K24" i="2"/>
  <c r="L24" i="2" s="1"/>
  <c r="M24" i="2" s="1"/>
  <c r="K25" i="2" l="1"/>
  <c r="L25" i="2" s="1"/>
  <c r="M25" i="2" s="1"/>
  <c r="H27" i="2"/>
  <c r="G26" i="2"/>
  <c r="J26" i="2"/>
  <c r="I26" i="2"/>
  <c r="K26" i="2" l="1"/>
  <c r="L26" i="2" s="1"/>
  <c r="M26" i="2" s="1"/>
  <c r="H28" i="2"/>
  <c r="I27" i="2"/>
  <c r="K27" i="2" s="1"/>
  <c r="L27" i="2" s="1"/>
  <c r="J27" i="2"/>
  <c r="G27" i="2"/>
  <c r="M27" i="2" l="1"/>
  <c r="H29" i="2"/>
  <c r="J28" i="2"/>
  <c r="I28" i="2"/>
  <c r="K28" i="2" s="1"/>
  <c r="L28" i="2" s="1"/>
  <c r="G28" i="2"/>
  <c r="M28" i="2" l="1"/>
  <c r="H30" i="2"/>
  <c r="I29" i="2"/>
  <c r="J29" i="2"/>
  <c r="G29" i="2"/>
  <c r="I30" i="2" l="1"/>
  <c r="G30" i="2"/>
  <c r="H31" i="2"/>
  <c r="J30" i="2"/>
  <c r="K29" i="2"/>
  <c r="L29" i="2" s="1"/>
  <c r="M29" i="2" s="1"/>
  <c r="H32" i="2" l="1"/>
  <c r="J31" i="2"/>
  <c r="I31" i="2"/>
  <c r="K31" i="2" s="1"/>
  <c r="L31" i="2" s="1"/>
  <c r="G31" i="2"/>
  <c r="K30" i="2"/>
  <c r="L30" i="2" s="1"/>
  <c r="M30" i="2" s="1"/>
  <c r="M31" i="2" l="1"/>
  <c r="J32" i="2"/>
  <c r="I32" i="2"/>
  <c r="K32" i="2" s="1"/>
  <c r="L32" i="2" s="1"/>
  <c r="H33" i="2"/>
  <c r="G32" i="2"/>
  <c r="M32" i="2" l="1"/>
  <c r="H34" i="2"/>
  <c r="G33" i="2"/>
  <c r="I33" i="2"/>
  <c r="J33" i="2"/>
  <c r="K33" i="2" l="1"/>
  <c r="L33" i="2" s="1"/>
  <c r="M33" i="2" s="1"/>
  <c r="J34" i="2"/>
  <c r="I34" i="2"/>
  <c r="K34" i="2" s="1"/>
  <c r="L34" i="2" s="1"/>
  <c r="G34" i="2"/>
  <c r="H35" i="2"/>
  <c r="M34" i="2" l="1"/>
  <c r="H36" i="2"/>
  <c r="J35" i="2"/>
  <c r="I35" i="2"/>
  <c r="K35" i="2" s="1"/>
  <c r="L35" i="2" s="1"/>
  <c r="M35" i="2" s="1"/>
  <c r="G35" i="2"/>
  <c r="G36" i="2" l="1"/>
  <c r="J36" i="2"/>
  <c r="I36" i="2"/>
  <c r="K36" i="2" s="1"/>
  <c r="L36" i="2" s="1"/>
  <c r="M36" i="2" s="1"/>
  <c r="H37" i="2"/>
  <c r="H38" i="2" l="1"/>
  <c r="J37" i="2"/>
  <c r="I37" i="2"/>
  <c r="K37" i="2" s="1"/>
  <c r="L37" i="2" s="1"/>
  <c r="M37" i="2" s="1"/>
  <c r="G37" i="2"/>
  <c r="I38" i="2" l="1"/>
  <c r="J38" i="2"/>
  <c r="G38" i="2"/>
  <c r="H39" i="2"/>
  <c r="K38" i="2" l="1"/>
  <c r="L38" i="2" s="1"/>
  <c r="M38" i="2" s="1"/>
  <c r="I39" i="2"/>
  <c r="G39" i="2"/>
  <c r="H40" i="2"/>
  <c r="J39" i="2"/>
  <c r="J40" i="2" l="1"/>
  <c r="I40" i="2"/>
  <c r="H41" i="2"/>
  <c r="G40" i="2"/>
  <c r="K39" i="2"/>
  <c r="L39" i="2" s="1"/>
  <c r="M39" i="2" s="1"/>
  <c r="K40" i="2" l="1"/>
  <c r="L40" i="2" s="1"/>
  <c r="G41" i="2"/>
  <c r="I41" i="2"/>
  <c r="J41" i="2"/>
  <c r="H42" i="2"/>
  <c r="M40" i="2"/>
  <c r="I42" i="2" l="1"/>
  <c r="J42" i="2"/>
  <c r="H43" i="2"/>
  <c r="G42" i="2"/>
  <c r="K41" i="2"/>
  <c r="L41" i="2" s="1"/>
  <c r="M41" i="2" s="1"/>
  <c r="I43" i="2" l="1"/>
  <c r="G43" i="2"/>
  <c r="J43" i="2"/>
  <c r="H44" i="2"/>
  <c r="K42" i="2"/>
  <c r="L42" i="2" s="1"/>
  <c r="M42" i="2" s="1"/>
  <c r="K43" i="2" l="1"/>
  <c r="L43" i="2" s="1"/>
  <c r="M43" i="2" s="1"/>
  <c r="J44" i="2"/>
  <c r="I44" i="2"/>
  <c r="H45" i="2"/>
  <c r="G44" i="2"/>
  <c r="G45" i="2" l="1"/>
  <c r="H46" i="2"/>
  <c r="J45" i="2"/>
  <c r="I45" i="2"/>
  <c r="K44" i="2"/>
  <c r="L44" i="2" s="1"/>
  <c r="M44" i="2" s="1"/>
  <c r="K45" i="2" l="1"/>
  <c r="L45" i="2" s="1"/>
  <c r="M45" i="2" s="1"/>
  <c r="I46" i="2"/>
  <c r="J46" i="2"/>
  <c r="H47" i="2"/>
  <c r="G46" i="2"/>
  <c r="G47" i="2" l="1"/>
  <c r="J47" i="2"/>
  <c r="I47" i="2"/>
  <c r="K47" i="2" s="1"/>
  <c r="L47" i="2" s="1"/>
  <c r="H48" i="2"/>
  <c r="K46" i="2"/>
  <c r="L46" i="2" s="1"/>
  <c r="M46" i="2" s="1"/>
  <c r="M47" i="2" l="1"/>
  <c r="J48" i="2"/>
  <c r="G48" i="2"/>
  <c r="I48" i="2"/>
  <c r="K48" i="2" s="1"/>
  <c r="L48" i="2" s="1"/>
  <c r="M48" i="2" s="1"/>
  <c r="H49" i="2"/>
  <c r="G49" i="2" l="1"/>
  <c r="H50" i="2"/>
  <c r="J49" i="2"/>
  <c r="I49" i="2"/>
  <c r="K49" i="2" s="1"/>
  <c r="L49" i="2" s="1"/>
  <c r="M49" i="2" s="1"/>
  <c r="J50" i="2" l="1"/>
  <c r="I50" i="2"/>
  <c r="K50" i="2" s="1"/>
  <c r="L50" i="2" s="1"/>
  <c r="M50" i="2" s="1"/>
  <c r="H51" i="2"/>
  <c r="G50" i="2"/>
  <c r="G51" i="2" l="1"/>
  <c r="H52" i="2"/>
  <c r="J51" i="2"/>
  <c r="I51" i="2"/>
  <c r="K51" i="2" s="1"/>
  <c r="L51" i="2" s="1"/>
  <c r="M51" i="2" s="1"/>
  <c r="J52" i="2" l="1"/>
  <c r="I52" i="2"/>
  <c r="K52" i="2" s="1"/>
  <c r="L52" i="2" s="1"/>
  <c r="M52" i="2" s="1"/>
  <c r="H53" i="2"/>
  <c r="G52" i="2"/>
  <c r="G53" i="2" l="1"/>
  <c r="H54" i="2"/>
  <c r="J53" i="2"/>
  <c r="I53" i="2"/>
  <c r="K53" i="2" l="1"/>
  <c r="L53" i="2" s="1"/>
  <c r="M53" i="2" s="1"/>
  <c r="J54" i="2"/>
  <c r="I54" i="2"/>
  <c r="K54" i="2" s="1"/>
  <c r="L54" i="2" s="1"/>
  <c r="M54" i="2" s="1"/>
  <c r="H55" i="2"/>
  <c r="G54" i="2"/>
  <c r="G55" i="2" l="1"/>
  <c r="I55" i="2"/>
  <c r="H56" i="2"/>
  <c r="J55" i="2"/>
  <c r="J56" i="2" l="1"/>
  <c r="G56" i="2"/>
  <c r="I56" i="2"/>
  <c r="K56" i="2" s="1"/>
  <c r="L56" i="2" s="1"/>
  <c r="H57" i="2"/>
  <c r="K55" i="2"/>
  <c r="L55" i="2" s="1"/>
  <c r="M55" i="2" s="1"/>
  <c r="M56" i="2" l="1"/>
  <c r="G57" i="2"/>
  <c r="H58" i="2"/>
  <c r="J57" i="2"/>
  <c r="I57" i="2"/>
  <c r="K57" i="2" s="1"/>
  <c r="L57" i="2" s="1"/>
  <c r="M57" i="2" s="1"/>
  <c r="J58" i="2" l="1"/>
  <c r="I58" i="2"/>
  <c r="K58" i="2" s="1"/>
  <c r="L58" i="2" s="1"/>
  <c r="M58" i="2" s="1"/>
  <c r="H59" i="2"/>
  <c r="G58" i="2"/>
  <c r="G59" i="2" l="1"/>
  <c r="H60" i="2"/>
  <c r="J59" i="2"/>
  <c r="I59" i="2"/>
  <c r="K59" i="2" s="1"/>
  <c r="L59" i="2" s="1"/>
  <c r="M59" i="2" s="1"/>
  <c r="J60" i="2" l="1"/>
  <c r="I60" i="2"/>
  <c r="K60" i="2" s="1"/>
  <c r="L60" i="2" s="1"/>
  <c r="M60" i="2" s="1"/>
  <c r="H61" i="2"/>
  <c r="G60" i="2"/>
  <c r="G61" i="2" l="1"/>
  <c r="H62" i="2"/>
  <c r="J61" i="2"/>
  <c r="I61" i="2"/>
  <c r="K61" i="2" s="1"/>
  <c r="L61" i="2" s="1"/>
  <c r="M61" i="2" s="1"/>
  <c r="J62" i="2" l="1"/>
  <c r="I62" i="2"/>
  <c r="K62" i="2" s="1"/>
  <c r="L62" i="2" s="1"/>
  <c r="M62" i="2" s="1"/>
  <c r="H63" i="2"/>
  <c r="G62" i="2"/>
  <c r="G63" i="2" l="1"/>
  <c r="I63" i="2"/>
  <c r="K63" i="2" s="1"/>
  <c r="L63" i="2" s="1"/>
  <c r="M63" i="2" s="1"/>
  <c r="H64" i="2"/>
  <c r="J63" i="2"/>
  <c r="J64" i="2" l="1"/>
  <c r="G64" i="2"/>
  <c r="I64" i="2"/>
  <c r="K64" i="2" s="1"/>
  <c r="L64" i="2" s="1"/>
  <c r="M64" i="2" s="1"/>
  <c r="H65" i="2"/>
  <c r="G65" i="2" l="1"/>
  <c r="H66" i="2"/>
  <c r="J65" i="2"/>
  <c r="I65" i="2"/>
  <c r="K65" i="2" s="1"/>
  <c r="L65" i="2" s="1"/>
  <c r="M65" i="2" s="1"/>
  <c r="J66" i="2" l="1"/>
  <c r="I66" i="2"/>
  <c r="K66" i="2" s="1"/>
  <c r="L66" i="2" s="1"/>
  <c r="M66" i="2" s="1"/>
  <c r="H67" i="2"/>
  <c r="G66" i="2"/>
  <c r="G67" i="2" l="1"/>
  <c r="J67" i="2"/>
  <c r="H68" i="2"/>
  <c r="I67" i="2"/>
  <c r="K67" i="2" s="1"/>
  <c r="L67" i="2" s="1"/>
  <c r="M67" i="2" s="1"/>
  <c r="J68" i="2" l="1"/>
  <c r="I68" i="2"/>
  <c r="K68" i="2" s="1"/>
  <c r="L68" i="2" s="1"/>
  <c r="M68" i="2" s="1"/>
  <c r="G68" i="2"/>
  <c r="H69" i="2"/>
  <c r="G69" i="2" l="1"/>
  <c r="J69" i="2"/>
  <c r="H70" i="2"/>
  <c r="I69" i="2"/>
  <c r="K69" i="2" l="1"/>
  <c r="L69" i="2" s="1"/>
  <c r="M69" i="2" s="1"/>
  <c r="J70" i="2"/>
  <c r="I70" i="2"/>
  <c r="K70" i="2" s="1"/>
  <c r="L70" i="2" s="1"/>
  <c r="G70" i="2"/>
  <c r="H71" i="2"/>
  <c r="M70" i="2" l="1"/>
  <c r="G71" i="2"/>
  <c r="J71" i="2"/>
  <c r="H72" i="2"/>
  <c r="I71" i="2"/>
  <c r="K71" i="2" s="1"/>
  <c r="L71" i="2" s="1"/>
  <c r="M71" i="2" s="1"/>
  <c r="J72" i="2" l="1"/>
  <c r="I72" i="2"/>
  <c r="H73" i="2"/>
  <c r="G72" i="2"/>
  <c r="K72" i="2" l="1"/>
  <c r="L72" i="2" s="1"/>
  <c r="M72" i="2" s="1"/>
  <c r="G73" i="2"/>
  <c r="J73" i="2"/>
  <c r="H74" i="2"/>
  <c r="I73" i="2"/>
  <c r="K73" i="2" l="1"/>
  <c r="L73" i="2" s="1"/>
  <c r="M73" i="2" s="1"/>
  <c r="J74" i="2"/>
  <c r="I74" i="2"/>
  <c r="K74" i="2" s="1"/>
  <c r="L74" i="2" s="1"/>
  <c r="M74" i="2" s="1"/>
  <c r="G74" i="2"/>
  <c r="H75" i="2"/>
  <c r="G75" i="2" l="1"/>
  <c r="H76" i="2"/>
  <c r="I75" i="2"/>
  <c r="J75" i="2"/>
  <c r="K75" i="2" l="1"/>
  <c r="L75" i="2" s="1"/>
  <c r="M75" i="2" s="1"/>
  <c r="J76" i="2"/>
  <c r="I76" i="2"/>
  <c r="K76" i="2" s="1"/>
  <c r="L76" i="2" s="1"/>
  <c r="G76" i="2"/>
  <c r="H77" i="2"/>
  <c r="M76" i="2" l="1"/>
  <c r="G77" i="2"/>
  <c r="J77" i="2"/>
  <c r="I77" i="2"/>
  <c r="K77" i="2" s="1"/>
  <c r="L77" i="2" s="1"/>
  <c r="M77" i="2" s="1"/>
  <c r="H78" i="2"/>
  <c r="J78" i="2" l="1"/>
  <c r="I78" i="2"/>
  <c r="G78" i="2"/>
  <c r="H79" i="2"/>
  <c r="K78" i="2" l="1"/>
  <c r="L78" i="2" s="1"/>
  <c r="M78" i="2" s="1"/>
  <c r="G79" i="2"/>
  <c r="H80" i="2"/>
  <c r="J79" i="2"/>
  <c r="I79" i="2"/>
  <c r="K79" i="2" s="1"/>
  <c r="L79" i="2" s="1"/>
  <c r="M79" i="2" s="1"/>
  <c r="J80" i="2" l="1"/>
  <c r="I80" i="2"/>
  <c r="G80" i="2"/>
  <c r="H81" i="2"/>
  <c r="K80" i="2" l="1"/>
  <c r="L80" i="2" s="1"/>
  <c r="M80" i="2" s="1"/>
  <c r="G81" i="2"/>
  <c r="H82" i="2"/>
  <c r="J81" i="2"/>
  <c r="I81" i="2"/>
  <c r="K81" i="2" s="1"/>
  <c r="L81" i="2" s="1"/>
  <c r="M81" i="2" s="1"/>
  <c r="J82" i="2" l="1"/>
  <c r="I82" i="2"/>
  <c r="G82" i="2"/>
  <c r="H83" i="2"/>
  <c r="K82" i="2" l="1"/>
  <c r="L82" i="2" s="1"/>
  <c r="M82" i="2" s="1"/>
  <c r="G83" i="2"/>
  <c r="H84" i="2"/>
  <c r="J83" i="2"/>
  <c r="I83" i="2"/>
  <c r="K83" i="2" s="1"/>
  <c r="L83" i="2" s="1"/>
  <c r="M83" i="2" s="1"/>
  <c r="J84" i="2" l="1"/>
  <c r="I84" i="2"/>
  <c r="G84" i="2"/>
  <c r="H85" i="2"/>
  <c r="K84" i="2" l="1"/>
  <c r="L84" i="2" s="1"/>
  <c r="M84" i="2" s="1"/>
  <c r="G85" i="2"/>
  <c r="H86" i="2"/>
  <c r="J85" i="2"/>
  <c r="I85" i="2"/>
  <c r="K85" i="2" s="1"/>
  <c r="L85" i="2" s="1"/>
  <c r="M85" i="2" l="1"/>
  <c r="J86" i="2"/>
  <c r="I86" i="2"/>
  <c r="K86" i="2" s="1"/>
  <c r="L86" i="2" s="1"/>
  <c r="M86" i="2" s="1"/>
  <c r="G86" i="2"/>
  <c r="H87" i="2"/>
  <c r="G87" i="2" l="1"/>
  <c r="H88" i="2"/>
  <c r="I87" i="2"/>
  <c r="J87" i="2"/>
  <c r="K87" i="2" l="1"/>
  <c r="L87" i="2" s="1"/>
  <c r="M87" i="2" s="1"/>
  <c r="M88" i="2" s="1"/>
  <c r="M89" i="2" s="1"/>
  <c r="H89" i="2"/>
  <c r="J88" i="2"/>
  <c r="I88" i="2"/>
  <c r="K88" i="2" s="1"/>
  <c r="G88" i="2"/>
  <c r="I89" i="2" l="1"/>
  <c r="G89" i="2"/>
  <c r="H90" i="2"/>
  <c r="J89" i="2"/>
  <c r="H91" i="2" l="1"/>
  <c r="J90" i="2"/>
  <c r="I90" i="2"/>
  <c r="K90" i="2" s="1"/>
  <c r="L90" i="2" s="1"/>
  <c r="M90" i="2" s="1"/>
  <c r="G90" i="2"/>
  <c r="K89" i="2"/>
  <c r="I91" i="2" l="1"/>
  <c r="K91" i="2" s="1"/>
  <c r="L91" i="2" s="1"/>
  <c r="M91" i="2" s="1"/>
  <c r="H92" i="2"/>
  <c r="J91" i="2"/>
  <c r="G91" i="2"/>
  <c r="I92" i="2" l="1"/>
  <c r="G92" i="2"/>
  <c r="H93" i="2"/>
  <c r="J92" i="2"/>
  <c r="K92" i="2" l="1"/>
  <c r="L92" i="2" s="1"/>
  <c r="M92" i="2" s="1"/>
  <c r="I93" i="2"/>
  <c r="H94" i="2"/>
  <c r="J93" i="2"/>
  <c r="G93" i="2"/>
  <c r="K93" i="2" l="1"/>
  <c r="L93" i="2" s="1"/>
  <c r="M93" i="2" s="1"/>
  <c r="H95" i="2"/>
  <c r="J94" i="2"/>
  <c r="I94" i="2"/>
  <c r="K94" i="2" s="1"/>
  <c r="L94" i="2" s="1"/>
  <c r="M94" i="2" s="1"/>
  <c r="M95" i="2" s="1"/>
  <c r="M96" i="2" s="1"/>
  <c r="G94" i="2"/>
  <c r="I95" i="2" l="1"/>
  <c r="J95" i="2"/>
  <c r="G95" i="2"/>
  <c r="H96" i="2"/>
  <c r="H97" i="2" l="1"/>
  <c r="G96" i="2"/>
  <c r="J96" i="2"/>
  <c r="I96" i="2"/>
  <c r="K96" i="2" s="1"/>
  <c r="K95" i="2"/>
  <c r="I97" i="2" l="1"/>
  <c r="H98" i="2"/>
  <c r="J97" i="2"/>
  <c r="G97" i="2"/>
  <c r="H99" i="2" l="1"/>
  <c r="J98" i="2"/>
  <c r="I98" i="2"/>
  <c r="K98" i="2" s="1"/>
  <c r="L98" i="2" s="1"/>
  <c r="G98" i="2"/>
  <c r="K97" i="2"/>
  <c r="L97" i="2" s="1"/>
  <c r="M97" i="2" s="1"/>
  <c r="M98" i="2" l="1"/>
  <c r="I99" i="2"/>
  <c r="H100" i="2"/>
  <c r="J99" i="2"/>
  <c r="G99" i="2"/>
  <c r="H101" i="2" l="1"/>
  <c r="J100" i="2"/>
  <c r="I100" i="2"/>
  <c r="K100" i="2" s="1"/>
  <c r="L100" i="2" s="1"/>
  <c r="G100" i="2"/>
  <c r="K99" i="2"/>
  <c r="L99" i="2" s="1"/>
  <c r="M99" i="2" s="1"/>
  <c r="M100" i="2" l="1"/>
  <c r="I101" i="2"/>
  <c r="H102" i="2"/>
  <c r="J101" i="2"/>
  <c r="G101" i="2"/>
  <c r="H103" i="2" l="1"/>
  <c r="G102" i="2"/>
  <c r="J102" i="2"/>
  <c r="I102" i="2"/>
  <c r="K102" i="2" s="1"/>
  <c r="K101" i="2"/>
  <c r="L101" i="2" s="1"/>
  <c r="M101" i="2" s="1"/>
  <c r="M102" i="2" s="1"/>
  <c r="M103" i="2" s="1"/>
  <c r="I103" i="2" l="1"/>
  <c r="H104" i="2"/>
  <c r="J103" i="2"/>
  <c r="G103" i="2"/>
  <c r="H105" i="2" l="1"/>
  <c r="J104" i="2"/>
  <c r="I104" i="2"/>
  <c r="K104" i="2" s="1"/>
  <c r="L104" i="2" s="1"/>
  <c r="M104" i="2" s="1"/>
  <c r="G104" i="2"/>
  <c r="K103" i="2"/>
  <c r="I105" i="2" l="1"/>
  <c r="K105" i="2" s="1"/>
  <c r="L105" i="2" s="1"/>
  <c r="M105" i="2" s="1"/>
  <c r="H106" i="2"/>
  <c r="J105" i="2"/>
  <c r="G105" i="2"/>
  <c r="H107" i="2" l="1"/>
  <c r="J106" i="2"/>
  <c r="I106" i="2"/>
  <c r="K106" i="2" s="1"/>
  <c r="L106" i="2" s="1"/>
  <c r="M106" i="2" s="1"/>
  <c r="G106" i="2"/>
  <c r="I107" i="2" l="1"/>
  <c r="H108" i="2"/>
  <c r="J107" i="2"/>
  <c r="G107" i="2"/>
  <c r="H109" i="2" l="1"/>
  <c r="I108" i="2"/>
  <c r="G108" i="2"/>
  <c r="J108" i="2"/>
  <c r="K107" i="2"/>
  <c r="L107" i="2" s="1"/>
  <c r="M107" i="2" s="1"/>
  <c r="K108" i="2" l="1"/>
  <c r="L108" i="2" s="1"/>
  <c r="M108" i="2" s="1"/>
  <c r="M109" i="2" s="1"/>
  <c r="M110" i="2" s="1"/>
  <c r="I109" i="2"/>
  <c r="G109" i="2"/>
  <c r="H110" i="2"/>
  <c r="J109" i="2"/>
  <c r="K109" i="2" l="1"/>
  <c r="H111" i="2"/>
  <c r="G110" i="2"/>
  <c r="J110" i="2"/>
  <c r="I110" i="2"/>
  <c r="I111" i="2" l="1"/>
  <c r="H112" i="2"/>
  <c r="J111" i="2"/>
  <c r="G111" i="2"/>
  <c r="K110" i="2"/>
  <c r="H113" i="2" l="1"/>
  <c r="J112" i="2"/>
  <c r="I112" i="2"/>
  <c r="G112" i="2"/>
  <c r="K111" i="2"/>
  <c r="L111" i="2" s="1"/>
  <c r="M111" i="2" s="1"/>
  <c r="K112" i="2" l="1"/>
  <c r="L112" i="2" s="1"/>
  <c r="M112" i="2" s="1"/>
  <c r="I113" i="2"/>
  <c r="H114" i="2"/>
  <c r="J113" i="2"/>
  <c r="G113" i="2"/>
  <c r="K113" i="2" l="1"/>
  <c r="L113" i="2" s="1"/>
  <c r="M113" i="2" s="1"/>
  <c r="H115" i="2"/>
  <c r="J114" i="2"/>
  <c r="I114" i="2"/>
  <c r="K114" i="2" s="1"/>
  <c r="L114" i="2" s="1"/>
  <c r="M114" i="2" s="1"/>
  <c r="G114" i="2"/>
  <c r="I115" i="2" l="1"/>
  <c r="H116" i="2"/>
  <c r="J115" i="2"/>
  <c r="G115" i="2"/>
  <c r="H117" i="2" l="1"/>
  <c r="G116" i="2"/>
  <c r="J116" i="2"/>
  <c r="I116" i="2"/>
  <c r="K115" i="2"/>
  <c r="L115" i="2" s="1"/>
  <c r="M115" i="2" s="1"/>
  <c r="K116" i="2" l="1"/>
  <c r="L116" i="2" s="1"/>
  <c r="M116" i="2" s="1"/>
  <c r="I117" i="2"/>
  <c r="H118" i="2"/>
  <c r="J117" i="2"/>
  <c r="G117" i="2"/>
  <c r="K117" i="2" l="1"/>
  <c r="L117" i="2" s="1"/>
  <c r="M117" i="2" s="1"/>
  <c r="H119" i="2"/>
  <c r="J118" i="2"/>
  <c r="I118" i="2"/>
  <c r="G118" i="2"/>
  <c r="K118" i="2" l="1"/>
  <c r="L118" i="2" s="1"/>
  <c r="M118" i="2" s="1"/>
  <c r="I119" i="2"/>
  <c r="H120" i="2"/>
  <c r="J119" i="2"/>
  <c r="G119" i="2"/>
  <c r="K119" i="2" l="1"/>
  <c r="L119" i="2" s="1"/>
  <c r="M119" i="2" s="1"/>
  <c r="H121" i="2"/>
  <c r="J120" i="2"/>
  <c r="I120" i="2"/>
  <c r="K120" i="2" s="1"/>
  <c r="L120" i="2" s="1"/>
  <c r="G120" i="2"/>
  <c r="M120" i="2" l="1"/>
  <c r="I121" i="2"/>
  <c r="H122" i="2"/>
  <c r="J121" i="2"/>
  <c r="G121" i="2"/>
  <c r="K121" i="2" l="1"/>
  <c r="L121" i="2" s="1"/>
  <c r="M121" i="2" s="1"/>
  <c r="H123" i="2"/>
  <c r="J122" i="2"/>
  <c r="I122" i="2"/>
  <c r="K122" i="2" s="1"/>
  <c r="L122" i="2" s="1"/>
  <c r="G122" i="2"/>
  <c r="M122" i="2" l="1"/>
  <c r="I123" i="2"/>
  <c r="H124" i="2"/>
  <c r="J123" i="2"/>
  <c r="G123" i="2"/>
  <c r="H125" i="2" l="1"/>
  <c r="G124" i="2"/>
  <c r="J124" i="2"/>
  <c r="I124" i="2"/>
  <c r="K123" i="2"/>
  <c r="L123" i="2" s="1"/>
  <c r="M123" i="2" s="1"/>
  <c r="K124" i="2" l="1"/>
  <c r="L124" i="2" s="1"/>
  <c r="M124" i="2" s="1"/>
  <c r="I125" i="2"/>
  <c r="H126" i="2"/>
  <c r="J125" i="2"/>
  <c r="G125" i="2"/>
  <c r="K125" i="2" l="1"/>
  <c r="L125" i="2" s="1"/>
  <c r="M125" i="2" s="1"/>
  <c r="H127" i="2"/>
  <c r="J126" i="2"/>
  <c r="I126" i="2"/>
  <c r="K126" i="2" s="1"/>
  <c r="L126" i="2" s="1"/>
  <c r="M126" i="2" s="1"/>
  <c r="G126" i="2"/>
  <c r="I127" i="2" l="1"/>
  <c r="H128" i="2"/>
  <c r="J127" i="2"/>
  <c r="G127" i="2"/>
  <c r="H129" i="2" l="1"/>
  <c r="J128" i="2"/>
  <c r="I128" i="2"/>
  <c r="K128" i="2" s="1"/>
  <c r="L128" i="2" s="1"/>
  <c r="G128" i="2"/>
  <c r="K127" i="2"/>
  <c r="L127" i="2" s="1"/>
  <c r="M127" i="2" s="1"/>
  <c r="M128" i="2" l="1"/>
  <c r="I129" i="2"/>
  <c r="H130" i="2"/>
  <c r="J129" i="2"/>
  <c r="G129" i="2"/>
  <c r="H131" i="2" l="1"/>
  <c r="J130" i="2"/>
  <c r="I130" i="2"/>
  <c r="K130" i="2" s="1"/>
  <c r="L130" i="2" s="1"/>
  <c r="G130" i="2"/>
  <c r="K129" i="2"/>
  <c r="L129" i="2" s="1"/>
  <c r="M129" i="2" s="1"/>
  <c r="M130" i="2" l="1"/>
  <c r="I131" i="2"/>
  <c r="H132" i="2"/>
  <c r="J131" i="2"/>
  <c r="G131" i="2"/>
  <c r="H133" i="2" l="1"/>
  <c r="G132" i="2"/>
  <c r="J132" i="2"/>
  <c r="I132" i="2"/>
  <c r="K132" i="2" s="1"/>
  <c r="L132" i="2" s="1"/>
  <c r="K131" i="2"/>
  <c r="L131" i="2" s="1"/>
  <c r="M131" i="2" s="1"/>
  <c r="M132" i="2" l="1"/>
  <c r="I133" i="2"/>
  <c r="H134" i="2"/>
  <c r="J133" i="2"/>
  <c r="G133" i="2"/>
  <c r="H135" i="2" l="1"/>
  <c r="J134" i="2"/>
  <c r="I134" i="2"/>
  <c r="K134" i="2" s="1"/>
  <c r="L134" i="2" s="1"/>
  <c r="G134" i="2"/>
  <c r="K133" i="2"/>
  <c r="L133" i="2" s="1"/>
  <c r="M133" i="2" s="1"/>
  <c r="M134" i="2" l="1"/>
  <c r="I135" i="2"/>
  <c r="H136" i="2"/>
  <c r="J135" i="2"/>
  <c r="G135" i="2"/>
  <c r="K135" i="2" l="1"/>
  <c r="L135" i="2" s="1"/>
  <c r="M135" i="2" s="1"/>
  <c r="H137" i="2"/>
  <c r="J136" i="2"/>
  <c r="I136" i="2"/>
  <c r="K136" i="2" s="1"/>
  <c r="L136" i="2" s="1"/>
  <c r="G136" i="2"/>
  <c r="M136" i="2" l="1"/>
  <c r="I137" i="2"/>
  <c r="H138" i="2"/>
  <c r="J137" i="2"/>
  <c r="G137" i="2"/>
  <c r="K137" i="2" l="1"/>
  <c r="L137" i="2" s="1"/>
  <c r="M137" i="2" s="1"/>
  <c r="H139" i="2"/>
  <c r="J138" i="2"/>
  <c r="I138" i="2"/>
  <c r="K138" i="2" s="1"/>
  <c r="L138" i="2" s="1"/>
  <c r="G138" i="2"/>
  <c r="M138" i="2" l="1"/>
  <c r="I139" i="2"/>
  <c r="H140" i="2"/>
  <c r="J139" i="2"/>
  <c r="G139" i="2"/>
  <c r="H141" i="2" l="1"/>
  <c r="G140" i="2"/>
  <c r="J140" i="2"/>
  <c r="I140" i="2"/>
  <c r="K140" i="2" s="1"/>
  <c r="L140" i="2" s="1"/>
  <c r="K139" i="2"/>
  <c r="L139" i="2" s="1"/>
  <c r="M139" i="2" s="1"/>
  <c r="M140" i="2" l="1"/>
  <c r="I141" i="2"/>
  <c r="J141" i="2"/>
  <c r="H142" i="2"/>
  <c r="G141" i="2"/>
  <c r="H143" i="2" l="1"/>
  <c r="G142" i="2"/>
  <c r="J142" i="2"/>
  <c r="I142" i="2"/>
  <c r="K141" i="2"/>
  <c r="L141" i="2" s="1"/>
  <c r="M141" i="2" s="1"/>
  <c r="K142" i="2" l="1"/>
  <c r="L142" i="2" s="1"/>
  <c r="M142" i="2"/>
  <c r="I143" i="2"/>
  <c r="G143" i="2"/>
  <c r="H144" i="2"/>
  <c r="J143" i="2"/>
  <c r="H145" i="2" l="1"/>
  <c r="G144" i="2"/>
  <c r="J144" i="2"/>
  <c r="I144" i="2"/>
  <c r="K144" i="2" s="1"/>
  <c r="L144" i="2" s="1"/>
  <c r="K143" i="2"/>
  <c r="L143" i="2" s="1"/>
  <c r="M143" i="2" s="1"/>
  <c r="I145" i="2" l="1"/>
  <c r="G145" i="2"/>
  <c r="J145" i="2"/>
  <c r="H146" i="2"/>
  <c r="M144" i="2"/>
  <c r="K145" i="2" l="1"/>
  <c r="L145" i="2" s="1"/>
  <c r="M145" i="2" s="1"/>
  <c r="H147" i="2"/>
  <c r="I146" i="2"/>
  <c r="G146" i="2"/>
  <c r="J146" i="2"/>
  <c r="K146" i="2" l="1"/>
  <c r="L146" i="2" s="1"/>
  <c r="M146" i="2" s="1"/>
  <c r="I147" i="2"/>
  <c r="G147" i="2"/>
  <c r="J147" i="2"/>
  <c r="H148" i="2"/>
  <c r="H149" i="2" l="1"/>
  <c r="I148" i="2"/>
  <c r="J148" i="2"/>
  <c r="G148" i="2"/>
  <c r="K147" i="2"/>
  <c r="L147" i="2" s="1"/>
  <c r="M147" i="2" s="1"/>
  <c r="K148" i="2" l="1"/>
  <c r="L148" i="2" s="1"/>
  <c r="M148" i="2" s="1"/>
  <c r="I149" i="2"/>
  <c r="K149" i="2" s="1"/>
  <c r="L149" i="2" s="1"/>
  <c r="G149" i="2"/>
  <c r="J149" i="2"/>
  <c r="H150" i="2"/>
  <c r="M149" i="2" l="1"/>
  <c r="H151" i="2"/>
  <c r="J150" i="2"/>
  <c r="I150" i="2"/>
  <c r="K150" i="2" s="1"/>
  <c r="L150" i="2" s="1"/>
  <c r="M150" i="2" s="1"/>
  <c r="G150" i="2"/>
  <c r="I151" i="2" l="1"/>
  <c r="G151" i="2"/>
  <c r="J151" i="2"/>
  <c r="H152" i="2"/>
  <c r="H153" i="2" l="1"/>
  <c r="J152" i="2"/>
  <c r="I152" i="2"/>
  <c r="K152" i="2" s="1"/>
  <c r="L152" i="2" s="1"/>
  <c r="G152" i="2"/>
  <c r="K151" i="2"/>
  <c r="L151" i="2" s="1"/>
  <c r="M151" i="2" s="1"/>
  <c r="M152" i="2" l="1"/>
  <c r="J153" i="2"/>
  <c r="I153" i="2"/>
  <c r="K153" i="2" s="1"/>
  <c r="L153" i="2" s="1"/>
  <c r="M153" i="2" s="1"/>
  <c r="H154" i="2"/>
  <c r="G153" i="2"/>
  <c r="G154" i="2" l="1"/>
  <c r="I154" i="2"/>
  <c r="H155" i="2"/>
  <c r="J154" i="2"/>
  <c r="K154" i="2" l="1"/>
  <c r="L154" i="2" s="1"/>
  <c r="M154" i="2" s="1"/>
  <c r="J155" i="2"/>
  <c r="G155" i="2"/>
  <c r="H156" i="2"/>
  <c r="I155" i="2"/>
  <c r="G156" i="2" l="1"/>
  <c r="H157" i="2"/>
  <c r="J156" i="2"/>
  <c r="I156" i="2"/>
  <c r="K156" i="2" s="1"/>
  <c r="L156" i="2" s="1"/>
  <c r="K155" i="2"/>
  <c r="L155" i="2" s="1"/>
  <c r="M155" i="2" s="1"/>
  <c r="M156" i="2" l="1"/>
  <c r="J157" i="2"/>
  <c r="I157" i="2"/>
  <c r="H158" i="2"/>
  <c r="G157" i="2"/>
  <c r="K157" i="2" l="1"/>
  <c r="L157" i="2" s="1"/>
  <c r="M157" i="2" s="1"/>
  <c r="G158" i="2"/>
  <c r="H159" i="2"/>
  <c r="J158" i="2"/>
  <c r="I158" i="2"/>
  <c r="K158" i="2" l="1"/>
  <c r="L158" i="2" s="1"/>
  <c r="M158" i="2" s="1"/>
  <c r="J159" i="2"/>
  <c r="I159" i="2"/>
  <c r="K159" i="2" s="1"/>
  <c r="L159" i="2" s="1"/>
  <c r="M159" i="2" s="1"/>
  <c r="H160" i="2"/>
  <c r="G159" i="2"/>
  <c r="G160" i="2" l="1"/>
  <c r="H161" i="2"/>
  <c r="J160" i="2"/>
  <c r="I160" i="2"/>
  <c r="K160" i="2" l="1"/>
  <c r="L160" i="2" s="1"/>
  <c r="M160" i="2" s="1"/>
  <c r="J161" i="2"/>
  <c r="I161" i="2"/>
  <c r="H162" i="2"/>
  <c r="G161" i="2"/>
  <c r="K161" i="2" l="1"/>
  <c r="L161" i="2" s="1"/>
  <c r="M161" i="2" s="1"/>
  <c r="G162" i="2"/>
  <c r="I162" i="2"/>
  <c r="H163" i="2"/>
  <c r="J162" i="2"/>
  <c r="K162" i="2" l="1"/>
  <c r="L162" i="2" s="1"/>
  <c r="M162" i="2" s="1"/>
  <c r="J163" i="2"/>
  <c r="G163" i="2"/>
  <c r="I163" i="2"/>
  <c r="H164" i="2"/>
  <c r="K163" i="2" l="1"/>
  <c r="L163" i="2" s="1"/>
  <c r="M163" i="2" s="1"/>
  <c r="G164" i="2"/>
  <c r="H165" i="2"/>
  <c r="J164" i="2"/>
  <c r="I164" i="2"/>
  <c r="K164" i="2" s="1"/>
  <c r="L164" i="2" s="1"/>
  <c r="M164" i="2" s="1"/>
  <c r="J165" i="2" l="1"/>
  <c r="I165" i="2"/>
  <c r="K165" i="2" s="1"/>
  <c r="L165" i="2" s="1"/>
  <c r="M165" i="2" s="1"/>
  <c r="H166" i="2"/>
  <c r="G165" i="2"/>
  <c r="G166" i="2" l="1"/>
  <c r="H167" i="2"/>
  <c r="J166" i="2"/>
  <c r="I166" i="2"/>
  <c r="K166" i="2" s="1"/>
  <c r="L166" i="2" s="1"/>
  <c r="M166" i="2" s="1"/>
  <c r="J167" i="2" l="1"/>
  <c r="I167" i="2"/>
  <c r="K167" i="2" s="1"/>
  <c r="L167" i="2" s="1"/>
  <c r="M167" i="2" s="1"/>
  <c r="H168" i="2"/>
  <c r="G167" i="2"/>
  <c r="G168" i="2" l="1"/>
  <c r="H169" i="2"/>
  <c r="J168" i="2"/>
  <c r="I168" i="2"/>
  <c r="K168" i="2" l="1"/>
  <c r="L168" i="2" s="1"/>
  <c r="M168" i="2" s="1"/>
  <c r="J169" i="2"/>
  <c r="I169" i="2"/>
  <c r="K169" i="2" s="1"/>
  <c r="L169" i="2" s="1"/>
  <c r="H170" i="2"/>
  <c r="G169" i="2"/>
  <c r="M169" i="2" l="1"/>
  <c r="G170" i="2"/>
  <c r="I170" i="2"/>
  <c r="H171" i="2"/>
  <c r="J170" i="2"/>
  <c r="J171" i="2" l="1"/>
  <c r="G171" i="2"/>
  <c r="I171" i="2"/>
  <c r="K171" i="2" s="1"/>
  <c r="L171" i="2" s="1"/>
  <c r="H172" i="2"/>
  <c r="K170" i="2"/>
  <c r="L170" i="2" s="1"/>
  <c r="M170" i="2" s="1"/>
  <c r="M171" i="2" l="1"/>
  <c r="G172" i="2"/>
  <c r="J172" i="2"/>
  <c r="H173" i="2"/>
  <c r="I172" i="2"/>
  <c r="K172" i="2" s="1"/>
  <c r="L172" i="2" s="1"/>
  <c r="M172" i="2" s="1"/>
  <c r="H174" i="2" l="1"/>
  <c r="J173" i="2"/>
  <c r="I173" i="2"/>
  <c r="G173" i="2"/>
  <c r="K173" i="2" l="1"/>
  <c r="L173" i="2" s="1"/>
  <c r="M173" i="2" s="1"/>
  <c r="G174" i="2"/>
  <c r="H175" i="2"/>
  <c r="J174" i="2"/>
  <c r="I174" i="2"/>
  <c r="K174" i="2" s="1"/>
  <c r="L174" i="2" s="1"/>
  <c r="M174" i="2" s="1"/>
  <c r="H176" i="2" l="1"/>
  <c r="J175" i="2"/>
  <c r="I175" i="2"/>
  <c r="K175" i="2" s="1"/>
  <c r="L175" i="2" s="1"/>
  <c r="M175" i="2" s="1"/>
  <c r="G175" i="2"/>
  <c r="G176" i="2" l="1"/>
  <c r="H177" i="2"/>
  <c r="J176" i="2"/>
  <c r="I176" i="2"/>
  <c r="K176" i="2" s="1"/>
  <c r="L176" i="2" s="1"/>
  <c r="M176" i="2" s="1"/>
  <c r="H178" i="2" l="1"/>
  <c r="J177" i="2"/>
  <c r="I177" i="2"/>
  <c r="K177" i="2" s="1"/>
  <c r="L177" i="2" s="1"/>
  <c r="M177" i="2" s="1"/>
  <c r="G177" i="2"/>
  <c r="G178" i="2" l="1"/>
  <c r="H179" i="2"/>
  <c r="J178" i="2"/>
  <c r="I178" i="2"/>
  <c r="K178" i="2" s="1"/>
  <c r="L178" i="2" s="1"/>
  <c r="M178" i="2" s="1"/>
  <c r="H180" i="2" l="1"/>
  <c r="G179" i="2"/>
  <c r="J179" i="2"/>
  <c r="I179" i="2"/>
  <c r="K179" i="2" s="1"/>
  <c r="L179" i="2" s="1"/>
  <c r="M179" i="2" s="1"/>
  <c r="G180" i="2" l="1"/>
  <c r="H181" i="2"/>
  <c r="J180" i="2"/>
  <c r="I180" i="2"/>
  <c r="K180" i="2" s="1"/>
  <c r="L180" i="2" s="1"/>
  <c r="M180" i="2" s="1"/>
  <c r="H182" i="2" l="1"/>
  <c r="J181" i="2"/>
  <c r="I181" i="2"/>
  <c r="K181" i="2" s="1"/>
  <c r="L181" i="2" s="1"/>
  <c r="M181" i="2" s="1"/>
  <c r="G181" i="2"/>
  <c r="G182" i="2" l="1"/>
  <c r="H183" i="2"/>
  <c r="J182" i="2"/>
  <c r="I182" i="2"/>
  <c r="K182" i="2" s="1"/>
  <c r="L182" i="2" s="1"/>
  <c r="M182" i="2" s="1"/>
  <c r="H184" i="2" l="1"/>
  <c r="J183" i="2"/>
  <c r="I183" i="2"/>
  <c r="K183" i="2" s="1"/>
  <c r="L183" i="2" s="1"/>
  <c r="M183" i="2" s="1"/>
  <c r="G183" i="2"/>
  <c r="G184" i="2" l="1"/>
  <c r="H185" i="2"/>
  <c r="J184" i="2"/>
  <c r="I184" i="2"/>
  <c r="K184" i="2" l="1"/>
  <c r="L184" i="2" s="1"/>
  <c r="M184" i="2" s="1"/>
  <c r="H186" i="2"/>
  <c r="J185" i="2"/>
  <c r="I185" i="2"/>
  <c r="K185" i="2" s="1"/>
  <c r="L185" i="2" s="1"/>
  <c r="M185" i="2" s="1"/>
  <c r="G185" i="2"/>
  <c r="G186" i="2" l="1"/>
  <c r="H187" i="2"/>
  <c r="J186" i="2"/>
  <c r="I186" i="2"/>
  <c r="K186" i="2" s="1"/>
  <c r="L186" i="2" s="1"/>
  <c r="M186" i="2" s="1"/>
  <c r="H188" i="2" l="1"/>
  <c r="G187" i="2"/>
  <c r="J187" i="2"/>
  <c r="I187" i="2"/>
  <c r="K187" i="2" l="1"/>
  <c r="L187" i="2" s="1"/>
  <c r="M187" i="2" s="1"/>
  <c r="G188" i="2"/>
  <c r="H189" i="2"/>
  <c r="J188" i="2"/>
  <c r="I188" i="2"/>
  <c r="K188" i="2" l="1"/>
  <c r="L188" i="2" s="1"/>
  <c r="M188" i="2" s="1"/>
  <c r="H190" i="2"/>
  <c r="J189" i="2"/>
  <c r="I189" i="2"/>
  <c r="K189" i="2" s="1"/>
  <c r="L189" i="2" s="1"/>
  <c r="M189" i="2" s="1"/>
  <c r="G189" i="2"/>
  <c r="G190" i="2" l="1"/>
  <c r="H191" i="2"/>
  <c r="J190" i="2"/>
  <c r="I190" i="2"/>
  <c r="K190" i="2" s="1"/>
  <c r="L190" i="2" s="1"/>
  <c r="M190" i="2" s="1"/>
  <c r="H192" i="2" l="1"/>
  <c r="J191" i="2"/>
  <c r="I191" i="2"/>
  <c r="K191" i="2" s="1"/>
  <c r="L191" i="2" s="1"/>
  <c r="M191" i="2" s="1"/>
  <c r="G191" i="2"/>
  <c r="G192" i="2" l="1"/>
  <c r="H193" i="2"/>
  <c r="J192" i="2"/>
  <c r="I192" i="2"/>
  <c r="K192" i="2" s="1"/>
  <c r="L192" i="2" s="1"/>
  <c r="M192" i="2" s="1"/>
  <c r="H194" i="2" l="1"/>
  <c r="J193" i="2"/>
  <c r="I193" i="2"/>
  <c r="K193" i="2" s="1"/>
  <c r="L193" i="2" s="1"/>
  <c r="M193" i="2" s="1"/>
  <c r="G193" i="2"/>
  <c r="G194" i="2" l="1"/>
  <c r="H195" i="2"/>
  <c r="J194" i="2"/>
  <c r="I194" i="2"/>
  <c r="K194" i="2" s="1"/>
  <c r="L194" i="2" s="1"/>
  <c r="M194" i="2" s="1"/>
  <c r="H196" i="2" l="1"/>
  <c r="G195" i="2"/>
  <c r="J195" i="2"/>
  <c r="I195" i="2"/>
  <c r="K195" i="2" s="1"/>
  <c r="L195" i="2" s="1"/>
  <c r="M195" i="2" s="1"/>
  <c r="G196" i="2" l="1"/>
  <c r="H197" i="2"/>
  <c r="J196" i="2"/>
  <c r="I196" i="2"/>
  <c r="K196" i="2" s="1"/>
  <c r="L196" i="2" s="1"/>
  <c r="M196" i="2" s="1"/>
  <c r="H198" i="2" l="1"/>
  <c r="J197" i="2"/>
  <c r="I197" i="2"/>
  <c r="K197" i="2" s="1"/>
  <c r="L197" i="2" s="1"/>
  <c r="M197" i="2" s="1"/>
  <c r="G197" i="2"/>
  <c r="G198" i="2" l="1"/>
  <c r="H199" i="2"/>
  <c r="J198" i="2"/>
  <c r="I198" i="2"/>
  <c r="K198" i="2" s="1"/>
  <c r="L198" i="2" s="1"/>
  <c r="M198" i="2" s="1"/>
  <c r="H200" i="2" l="1"/>
  <c r="J199" i="2"/>
  <c r="I199" i="2"/>
  <c r="K199" i="2" s="1"/>
  <c r="L199" i="2" s="1"/>
  <c r="M199" i="2" s="1"/>
  <c r="G199" i="2"/>
  <c r="G200" i="2" l="1"/>
  <c r="H201" i="2"/>
  <c r="J200" i="2"/>
  <c r="I200" i="2"/>
  <c r="K200" i="2" s="1"/>
  <c r="L200" i="2" s="1"/>
  <c r="M200" i="2" s="1"/>
  <c r="H202" i="2" l="1"/>
  <c r="J201" i="2"/>
  <c r="I201" i="2"/>
  <c r="G201" i="2"/>
  <c r="K201" i="2" l="1"/>
  <c r="L201" i="2" s="1"/>
  <c r="M201" i="2" s="1"/>
  <c r="G202" i="2"/>
  <c r="H203" i="2"/>
  <c r="J202" i="2"/>
  <c r="I202" i="2"/>
  <c r="K202" i="2" s="1"/>
  <c r="L202" i="2" s="1"/>
  <c r="M202" i="2" s="1"/>
  <c r="H204" i="2" l="1"/>
  <c r="G203" i="2"/>
  <c r="J203" i="2"/>
  <c r="I203" i="2"/>
  <c r="K203" i="2" l="1"/>
  <c r="L203" i="2" s="1"/>
  <c r="M203" i="2" s="1"/>
  <c r="I204" i="2"/>
  <c r="G204" i="2"/>
  <c r="J204" i="2"/>
  <c r="H205" i="2"/>
  <c r="J205" i="2" l="1"/>
  <c r="I205" i="2"/>
  <c r="K205" i="2" s="1"/>
  <c r="L205" i="2" s="1"/>
  <c r="H206" i="2"/>
  <c r="G205" i="2"/>
  <c r="K204" i="2"/>
  <c r="L204" i="2" s="1"/>
  <c r="M204" i="2" s="1"/>
  <c r="M205" i="2" l="1"/>
  <c r="I206" i="2"/>
  <c r="H207" i="2"/>
  <c r="J206" i="2"/>
  <c r="G206" i="2"/>
  <c r="K206" i="2" l="1"/>
  <c r="L206" i="2" s="1"/>
  <c r="M206" i="2" s="1"/>
  <c r="I207" i="2"/>
  <c r="G207" i="2"/>
  <c r="J207" i="2"/>
  <c r="H208" i="2"/>
  <c r="K207" i="2" l="1"/>
  <c r="L207" i="2" s="1"/>
  <c r="M207" i="2" s="1"/>
  <c r="I208" i="2"/>
  <c r="J208" i="2"/>
  <c r="H209" i="2"/>
  <c r="G208" i="2"/>
  <c r="K208" i="2" l="1"/>
  <c r="L208" i="2" s="1"/>
  <c r="M208" i="2" s="1"/>
  <c r="H210" i="2"/>
  <c r="J209" i="2"/>
  <c r="G209" i="2"/>
  <c r="I209" i="2"/>
  <c r="K209" i="2" s="1"/>
  <c r="L209" i="2" s="1"/>
  <c r="M209" i="2" s="1"/>
  <c r="I210" i="2" l="1"/>
  <c r="J210" i="2"/>
  <c r="G210" i="2"/>
  <c r="H211" i="2"/>
  <c r="G211" i="2" l="1"/>
  <c r="J211" i="2"/>
  <c r="I211" i="2"/>
  <c r="K211" i="2" s="1"/>
  <c r="L211" i="2" s="1"/>
  <c r="H212" i="2"/>
  <c r="K210" i="2"/>
  <c r="L210" i="2" s="1"/>
  <c r="M210" i="2" s="1"/>
  <c r="M211" i="2" l="1"/>
  <c r="J212" i="2"/>
  <c r="I212" i="2"/>
  <c r="G212" i="2"/>
  <c r="H213" i="2"/>
  <c r="K212" i="2" l="1"/>
  <c r="L212" i="2" s="1"/>
  <c r="M212" i="2" s="1"/>
  <c r="H214" i="2"/>
  <c r="J213" i="2"/>
  <c r="I213" i="2"/>
  <c r="K213" i="2" s="1"/>
  <c r="L213" i="2" s="1"/>
  <c r="M213" i="2" s="1"/>
  <c r="G213" i="2"/>
  <c r="J214" i="2" l="1"/>
  <c r="I214" i="2"/>
  <c r="K214" i="2" s="1"/>
  <c r="L214" i="2" s="1"/>
  <c r="M214" i="2" s="1"/>
  <c r="H215" i="2"/>
  <c r="G214" i="2"/>
  <c r="H216" i="2" l="1"/>
  <c r="J215" i="2"/>
  <c r="I215" i="2"/>
  <c r="K215" i="2" s="1"/>
  <c r="L215" i="2" s="1"/>
  <c r="M215" i="2" s="1"/>
  <c r="G215" i="2"/>
  <c r="J216" i="2" l="1"/>
  <c r="I216" i="2"/>
  <c r="H217" i="2"/>
  <c r="G216" i="2"/>
  <c r="G217" i="2" l="1"/>
  <c r="I217" i="2"/>
  <c r="H218" i="2"/>
  <c r="J217" i="2"/>
  <c r="K216" i="2"/>
  <c r="L216" i="2" s="1"/>
  <c r="M216" i="2" s="1"/>
  <c r="J218" i="2" l="1"/>
  <c r="I218" i="2"/>
  <c r="K218" i="2" s="1"/>
  <c r="L218" i="2" s="1"/>
  <c r="H219" i="2"/>
  <c r="G218" i="2"/>
  <c r="K217" i="2"/>
  <c r="L217" i="2" s="1"/>
  <c r="M217" i="2" s="1"/>
  <c r="M218" i="2" l="1"/>
  <c r="H220" i="2"/>
  <c r="J219" i="2"/>
  <c r="G219" i="2"/>
  <c r="I219" i="2"/>
  <c r="K219" i="2" s="1"/>
  <c r="L219" i="2" s="1"/>
  <c r="M219" i="2" s="1"/>
  <c r="J220" i="2" l="1"/>
  <c r="I220" i="2"/>
  <c r="H221" i="2"/>
  <c r="G220" i="2"/>
  <c r="K220" i="2" l="1"/>
  <c r="L220" i="2" s="1"/>
  <c r="M220" i="2" s="1"/>
  <c r="H222" i="2"/>
  <c r="J221" i="2"/>
  <c r="I221" i="2"/>
  <c r="K221" i="2" s="1"/>
  <c r="L221" i="2" s="1"/>
  <c r="M221" i="2" s="1"/>
  <c r="G221" i="2"/>
  <c r="J222" i="2" l="1"/>
  <c r="I222" i="2"/>
  <c r="K222" i="2" s="1"/>
  <c r="L222" i="2" s="1"/>
  <c r="M222" i="2" s="1"/>
  <c r="H223" i="2"/>
  <c r="G222" i="2"/>
  <c r="H224" i="2" l="1"/>
  <c r="J223" i="2"/>
  <c r="I223" i="2"/>
  <c r="K223" i="2" s="1"/>
  <c r="L223" i="2" s="1"/>
  <c r="M223" i="2" s="1"/>
  <c r="G223" i="2"/>
  <c r="J224" i="2" l="1"/>
  <c r="I224" i="2"/>
  <c r="K224" i="2" s="1"/>
  <c r="L224" i="2" s="1"/>
  <c r="M224" i="2" s="1"/>
  <c r="H225" i="2"/>
  <c r="G224" i="2"/>
  <c r="G225" i="2" l="1"/>
  <c r="H226" i="2"/>
  <c r="J225" i="2"/>
  <c r="I225" i="2"/>
  <c r="K225" i="2" s="1"/>
  <c r="L225" i="2" s="1"/>
  <c r="M225" i="2" s="1"/>
  <c r="J226" i="2" l="1"/>
  <c r="I226" i="2"/>
  <c r="K226" i="2" s="1"/>
  <c r="L226" i="2" s="1"/>
  <c r="M226" i="2" s="1"/>
  <c r="H227" i="2"/>
  <c r="G226" i="2"/>
  <c r="H228" i="2" l="1"/>
  <c r="J227" i="2"/>
  <c r="G227" i="2"/>
  <c r="I227" i="2"/>
  <c r="K227" i="2" s="1"/>
  <c r="L227" i="2" s="1"/>
  <c r="M227" i="2" s="1"/>
  <c r="J228" i="2" l="1"/>
  <c r="I228" i="2"/>
  <c r="H229" i="2"/>
  <c r="G228" i="2"/>
  <c r="K228" i="2" l="1"/>
  <c r="L228" i="2" s="1"/>
  <c r="M228" i="2" s="1"/>
  <c r="H230" i="2"/>
  <c r="J229" i="2"/>
  <c r="G229" i="2"/>
  <c r="I229" i="2"/>
  <c r="K229" i="2" s="1"/>
  <c r="L229" i="2" s="1"/>
  <c r="M229" i="2" s="1"/>
  <c r="J230" i="2" l="1"/>
  <c r="I230" i="2"/>
  <c r="H231" i="2"/>
  <c r="G230" i="2"/>
  <c r="K230" i="2" l="1"/>
  <c r="L230" i="2" s="1"/>
  <c r="M230" i="2" s="1"/>
  <c r="H232" i="2"/>
  <c r="J231" i="2"/>
  <c r="I231" i="2"/>
  <c r="K231" i="2" s="1"/>
  <c r="L231" i="2" s="1"/>
  <c r="G231" i="2"/>
  <c r="M231" i="2" l="1"/>
  <c r="J232" i="2"/>
  <c r="I232" i="2"/>
  <c r="K232" i="2" s="1"/>
  <c r="L232" i="2" s="1"/>
  <c r="M232" i="2" s="1"/>
  <c r="H233" i="2"/>
  <c r="G232" i="2"/>
  <c r="G233" i="2" l="1"/>
  <c r="H234" i="2"/>
  <c r="J233" i="2"/>
  <c r="I233" i="2"/>
  <c r="K233" i="2" l="1"/>
  <c r="L233" i="2" s="1"/>
  <c r="M233" i="2" s="1"/>
  <c r="J234" i="2"/>
  <c r="I234" i="2"/>
  <c r="K234" i="2" s="1"/>
  <c r="L234" i="2" s="1"/>
  <c r="M234" i="2" s="1"/>
  <c r="H235" i="2"/>
  <c r="G234" i="2"/>
  <c r="H236" i="2" l="1"/>
  <c r="J235" i="2"/>
  <c r="G235" i="2"/>
  <c r="I235" i="2"/>
  <c r="K235" i="2" s="1"/>
  <c r="L235" i="2" s="1"/>
  <c r="M235" i="2" s="1"/>
  <c r="J236" i="2" l="1"/>
  <c r="I236" i="2"/>
  <c r="H237" i="2"/>
  <c r="G236" i="2"/>
  <c r="K236" i="2" l="1"/>
  <c r="L236" i="2" s="1"/>
  <c r="M236" i="2" s="1"/>
  <c r="H238" i="2"/>
  <c r="J237" i="2"/>
  <c r="I237" i="2"/>
  <c r="K237" i="2" s="1"/>
  <c r="L237" i="2" s="1"/>
  <c r="M237" i="2" s="1"/>
  <c r="G237" i="2"/>
  <c r="J238" i="2" l="1"/>
  <c r="I238" i="2"/>
  <c r="H239" i="2"/>
  <c r="G238" i="2"/>
  <c r="K238" i="2" l="1"/>
  <c r="L238" i="2" s="1"/>
  <c r="M238" i="2" s="1"/>
  <c r="H240" i="2"/>
  <c r="J239" i="2"/>
  <c r="I239" i="2"/>
  <c r="K239" i="2" s="1"/>
  <c r="L239" i="2" s="1"/>
  <c r="G239" i="2"/>
  <c r="M239" i="2" l="1"/>
  <c r="J240" i="2"/>
  <c r="I240" i="2"/>
  <c r="K240" i="2" s="1"/>
  <c r="L240" i="2" s="1"/>
  <c r="H241" i="2"/>
  <c r="G240" i="2"/>
  <c r="M240" i="2" l="1"/>
  <c r="G241" i="2"/>
  <c r="H242" i="2"/>
  <c r="J241" i="2"/>
  <c r="I241" i="2"/>
  <c r="K241" i="2" s="1"/>
  <c r="L241" i="2" s="1"/>
  <c r="M241" i="2" s="1"/>
  <c r="J242" i="2" l="1"/>
  <c r="I242" i="2"/>
  <c r="H243" i="2"/>
  <c r="G242" i="2"/>
  <c r="K242" i="2" l="1"/>
  <c r="L242" i="2" s="1"/>
  <c r="M242" i="2" s="1"/>
  <c r="H244" i="2"/>
  <c r="J243" i="2"/>
  <c r="I243" i="2"/>
  <c r="G243" i="2"/>
  <c r="K243" i="2" l="1"/>
  <c r="L243" i="2" s="1"/>
  <c r="M243" i="2" s="1"/>
  <c r="J244" i="2"/>
  <c r="I244" i="2"/>
  <c r="K244" i="2" s="1"/>
  <c r="L244" i="2" s="1"/>
  <c r="M244" i="2" s="1"/>
  <c r="H245" i="2"/>
  <c r="G244" i="2"/>
  <c r="H246" i="2" l="1"/>
  <c r="J245" i="2"/>
  <c r="I245" i="2"/>
  <c r="K245" i="2" s="1"/>
  <c r="L245" i="2" s="1"/>
  <c r="M245" i="2" s="1"/>
  <c r="G245" i="2"/>
  <c r="J246" i="2" l="1"/>
  <c r="I246" i="2"/>
  <c r="K246" i="2" s="1"/>
  <c r="L246" i="2" s="1"/>
  <c r="M246" i="2" s="1"/>
  <c r="H247" i="2"/>
  <c r="G246" i="2"/>
  <c r="H248" i="2" l="1"/>
  <c r="J247" i="2"/>
  <c r="I247" i="2"/>
  <c r="G247" i="2"/>
  <c r="K247" i="2" l="1"/>
  <c r="L247" i="2" s="1"/>
  <c r="M247" i="2" s="1"/>
  <c r="J248" i="2"/>
  <c r="I248" i="2"/>
  <c r="K248" i="2" s="1"/>
  <c r="L248" i="2" s="1"/>
  <c r="M248" i="2" s="1"/>
  <c r="H249" i="2"/>
  <c r="G248" i="2"/>
  <c r="G249" i="2" l="1"/>
  <c r="H250" i="2"/>
  <c r="J249" i="2"/>
  <c r="I249" i="2"/>
  <c r="K249" i="2" s="1"/>
  <c r="L249" i="2" s="1"/>
  <c r="M249" i="2" s="1"/>
  <c r="J250" i="2" l="1"/>
  <c r="I250" i="2"/>
  <c r="H251" i="2"/>
  <c r="G250" i="2"/>
  <c r="K250" i="2" l="1"/>
  <c r="L250" i="2" s="1"/>
  <c r="M250" i="2" s="1"/>
  <c r="H252" i="2"/>
  <c r="J251" i="2"/>
  <c r="I251" i="2"/>
  <c r="K251" i="2" s="1"/>
  <c r="L251" i="2" s="1"/>
  <c r="G251" i="2"/>
  <c r="M251" i="2" l="1"/>
  <c r="J252" i="2"/>
  <c r="I252" i="2"/>
  <c r="H253" i="2"/>
  <c r="G252" i="2"/>
  <c r="K252" i="2" l="1"/>
  <c r="L252" i="2" s="1"/>
  <c r="M252" i="2" s="1"/>
  <c r="H254" i="2"/>
  <c r="J253" i="2"/>
  <c r="I253" i="2"/>
  <c r="K253" i="2" s="1"/>
  <c r="L253" i="2" s="1"/>
  <c r="G253" i="2"/>
  <c r="M253" i="2" l="1"/>
  <c r="J254" i="2"/>
  <c r="I254" i="2"/>
  <c r="K254" i="2" s="1"/>
  <c r="L254" i="2" s="1"/>
  <c r="M254" i="2" s="1"/>
  <c r="H255" i="2"/>
  <c r="G254" i="2"/>
  <c r="H256" i="2" l="1"/>
  <c r="J255" i="2"/>
  <c r="I255" i="2"/>
  <c r="K255" i="2" s="1"/>
  <c r="L255" i="2" s="1"/>
  <c r="M255" i="2" s="1"/>
  <c r="G255" i="2"/>
  <c r="J256" i="2" l="1"/>
  <c r="I256" i="2"/>
  <c r="K256" i="2" s="1"/>
  <c r="L256" i="2" s="1"/>
  <c r="M256" i="2" s="1"/>
  <c r="H257" i="2"/>
  <c r="G256" i="2"/>
  <c r="G257" i="2" l="1"/>
  <c r="H258" i="2"/>
  <c r="J257" i="2"/>
  <c r="I257" i="2"/>
  <c r="K257" i="2" s="1"/>
  <c r="L257" i="2" s="1"/>
  <c r="M257" i="2" s="1"/>
  <c r="J258" i="2" l="1"/>
  <c r="I258" i="2"/>
  <c r="K258" i="2" s="1"/>
  <c r="L258" i="2" s="1"/>
  <c r="M258" i="2" s="1"/>
  <c r="H259" i="2"/>
  <c r="G258" i="2"/>
  <c r="H260" i="2" l="1"/>
  <c r="J259" i="2"/>
  <c r="I259" i="2"/>
  <c r="G259" i="2"/>
  <c r="K259" i="2" l="1"/>
  <c r="L259" i="2" s="1"/>
  <c r="M259" i="2" s="1"/>
  <c r="J260" i="2"/>
  <c r="I260" i="2"/>
  <c r="K260" i="2" s="1"/>
  <c r="L260" i="2" s="1"/>
  <c r="H261" i="2"/>
  <c r="G260" i="2"/>
  <c r="M260" i="2" l="1"/>
  <c r="H262" i="2"/>
  <c r="J261" i="2"/>
  <c r="I261" i="2"/>
  <c r="K261" i="2" s="1"/>
  <c r="L261" i="2" s="1"/>
  <c r="M261" i="2" s="1"/>
  <c r="G261" i="2"/>
  <c r="J262" i="2" l="1"/>
  <c r="I262" i="2"/>
  <c r="H263" i="2"/>
  <c r="G262" i="2"/>
  <c r="K262" i="2" l="1"/>
  <c r="L262" i="2" s="1"/>
  <c r="M262" i="2" s="1"/>
  <c r="H264" i="2"/>
  <c r="J263" i="2"/>
  <c r="I263" i="2"/>
  <c r="K263" i="2" s="1"/>
  <c r="L263" i="2" s="1"/>
  <c r="G263" i="2"/>
  <c r="M263" i="2" l="1"/>
  <c r="J264" i="2"/>
  <c r="I264" i="2"/>
  <c r="K264" i="2" s="1"/>
  <c r="L264" i="2" s="1"/>
  <c r="H265" i="2"/>
  <c r="G264" i="2"/>
  <c r="M264" i="2" l="1"/>
  <c r="H266" i="2"/>
  <c r="G265" i="2"/>
  <c r="J265" i="2"/>
  <c r="I265" i="2"/>
  <c r="K265" i="2" s="1"/>
  <c r="L265" i="2" s="1"/>
  <c r="M265" i="2" s="1"/>
  <c r="J266" i="2" l="1"/>
  <c r="I266" i="2"/>
  <c r="H267" i="2"/>
  <c r="G266" i="2"/>
  <c r="K266" i="2" l="1"/>
  <c r="L266" i="2" s="1"/>
  <c r="M266" i="2" s="1"/>
  <c r="H268" i="2"/>
  <c r="G267" i="2"/>
  <c r="J267" i="2"/>
  <c r="I267" i="2"/>
  <c r="K267" i="2" s="1"/>
  <c r="L267" i="2" s="1"/>
  <c r="M267" i="2" s="1"/>
  <c r="J268" i="2" l="1"/>
  <c r="I268" i="2"/>
  <c r="K268" i="2" s="1"/>
  <c r="L268" i="2" s="1"/>
  <c r="M268" i="2" s="1"/>
  <c r="G268" i="2"/>
  <c r="H269" i="2"/>
  <c r="H270" i="2" l="1"/>
  <c r="I269" i="2"/>
  <c r="G269" i="2"/>
  <c r="J269" i="2"/>
  <c r="K269" i="2" l="1"/>
  <c r="L269" i="2" s="1"/>
  <c r="M269" i="2" s="1"/>
  <c r="J270" i="2"/>
  <c r="I270" i="2"/>
  <c r="K270" i="2" s="1"/>
  <c r="L270" i="2" s="1"/>
  <c r="M270" i="2" s="1"/>
  <c r="G270" i="2"/>
  <c r="H271" i="2"/>
  <c r="H272" i="2" l="1"/>
  <c r="J271" i="2"/>
  <c r="I271" i="2"/>
  <c r="K271" i="2" s="1"/>
  <c r="L271" i="2" s="1"/>
  <c r="M271" i="2" s="1"/>
  <c r="G271" i="2"/>
  <c r="J272" i="2" l="1"/>
  <c r="I272" i="2"/>
  <c r="G272" i="2"/>
  <c r="H273" i="2"/>
  <c r="K272" i="2" l="1"/>
  <c r="L272" i="2" s="1"/>
  <c r="M272" i="2" s="1"/>
  <c r="H274" i="2"/>
  <c r="J273" i="2"/>
  <c r="I273" i="2"/>
  <c r="K273" i="2" s="1"/>
  <c r="L273" i="2" s="1"/>
  <c r="M273" i="2" s="1"/>
  <c r="G273" i="2"/>
  <c r="J274" i="2" l="1"/>
  <c r="I274" i="2"/>
  <c r="K274" i="2" s="1"/>
  <c r="L274" i="2" s="1"/>
  <c r="M274" i="2" s="1"/>
  <c r="G274" i="2"/>
  <c r="H275" i="2"/>
  <c r="H276" i="2" l="1"/>
  <c r="J275" i="2"/>
  <c r="I275" i="2"/>
  <c r="K275" i="2" s="1"/>
  <c r="L275" i="2" s="1"/>
  <c r="M275" i="2" s="1"/>
  <c r="G275" i="2"/>
  <c r="J276" i="2" l="1"/>
  <c r="I276" i="2"/>
  <c r="K276" i="2" s="1"/>
  <c r="L276" i="2" s="1"/>
  <c r="M276" i="2" s="1"/>
  <c r="G276" i="2"/>
  <c r="H277" i="2"/>
  <c r="H278" i="2" l="1"/>
  <c r="J277" i="2"/>
  <c r="G277" i="2"/>
  <c r="I277" i="2"/>
  <c r="K277" i="2" s="1"/>
  <c r="L277" i="2" s="1"/>
  <c r="M277" i="2" s="1"/>
  <c r="J278" i="2" l="1"/>
  <c r="I278" i="2"/>
  <c r="G278" i="2"/>
  <c r="H279" i="2"/>
  <c r="K278" i="2" l="1"/>
  <c r="L278" i="2" s="1"/>
  <c r="M278" i="2" s="1"/>
  <c r="H280" i="2"/>
  <c r="J279" i="2"/>
  <c r="I279" i="2"/>
  <c r="K279" i="2" s="1"/>
  <c r="L279" i="2" s="1"/>
  <c r="M279" i="2" s="1"/>
  <c r="G279" i="2"/>
  <c r="J280" i="2" l="1"/>
  <c r="I280" i="2"/>
  <c r="G280" i="2"/>
  <c r="H281" i="2"/>
  <c r="K280" i="2" l="1"/>
  <c r="L280" i="2" s="1"/>
  <c r="M280" i="2" s="1"/>
  <c r="H282" i="2"/>
  <c r="J281" i="2"/>
  <c r="G281" i="2"/>
  <c r="I281" i="2"/>
  <c r="K281" i="2" s="1"/>
  <c r="L281" i="2" s="1"/>
  <c r="M281" i="2" l="1"/>
  <c r="J282" i="2"/>
  <c r="I282" i="2"/>
  <c r="K282" i="2" s="1"/>
  <c r="L282" i="2" s="1"/>
  <c r="M282" i="2" s="1"/>
  <c r="G282" i="2"/>
  <c r="H283" i="2"/>
  <c r="H284" i="2" l="1"/>
  <c r="J283" i="2"/>
  <c r="I283" i="2"/>
  <c r="G283" i="2"/>
  <c r="K283" i="2" l="1"/>
  <c r="L283" i="2" s="1"/>
  <c r="M283" i="2" s="1"/>
  <c r="J284" i="2"/>
  <c r="I284" i="2"/>
  <c r="G284" i="2"/>
  <c r="H285" i="2"/>
  <c r="K284" i="2" l="1"/>
  <c r="L284" i="2" s="1"/>
  <c r="M284" i="2" s="1"/>
  <c r="H286" i="2"/>
  <c r="J285" i="2"/>
  <c r="I285" i="2"/>
  <c r="G285" i="2"/>
  <c r="K285" i="2" l="1"/>
  <c r="L285" i="2" s="1"/>
  <c r="M285" i="2" s="1"/>
  <c r="J286" i="2"/>
  <c r="I286" i="2"/>
  <c r="G286" i="2"/>
  <c r="H287" i="2"/>
  <c r="K286" i="2" l="1"/>
  <c r="L286" i="2" s="1"/>
  <c r="M286" i="2" s="1"/>
  <c r="H288" i="2"/>
  <c r="J287" i="2"/>
  <c r="I287" i="2"/>
  <c r="K287" i="2" s="1"/>
  <c r="L287" i="2" s="1"/>
  <c r="M287" i="2" s="1"/>
  <c r="G287" i="2"/>
  <c r="J288" i="2" l="1"/>
  <c r="I288" i="2"/>
  <c r="G288" i="2"/>
  <c r="H289" i="2"/>
  <c r="K288" i="2" l="1"/>
  <c r="L288" i="2" s="1"/>
  <c r="M288" i="2" s="1"/>
  <c r="H290" i="2"/>
  <c r="J289" i="2"/>
  <c r="I289" i="2"/>
  <c r="G289" i="2"/>
  <c r="K289" i="2" l="1"/>
  <c r="L289" i="2" s="1"/>
  <c r="M289" i="2" s="1"/>
  <c r="H291" i="2"/>
  <c r="J290" i="2"/>
  <c r="I290" i="2"/>
  <c r="K290" i="2" s="1"/>
  <c r="L290" i="2" s="1"/>
  <c r="G290" i="2"/>
  <c r="M290" i="2" l="1"/>
  <c r="G291" i="2"/>
  <c r="H292" i="2"/>
  <c r="J291" i="2"/>
  <c r="I291" i="2"/>
  <c r="K291" i="2" s="1"/>
  <c r="L291" i="2" s="1"/>
  <c r="M291" i="2" l="1"/>
  <c r="H293" i="2"/>
  <c r="I292" i="2"/>
  <c r="G292" i="2"/>
  <c r="J292" i="2"/>
  <c r="K292" i="2" l="1"/>
  <c r="L292" i="2" s="1"/>
  <c r="M292" i="2" s="1"/>
  <c r="G293" i="2"/>
  <c r="I293" i="2"/>
  <c r="H294" i="2"/>
  <c r="J293" i="2"/>
  <c r="K293" i="2" l="1"/>
  <c r="L293" i="2" s="1"/>
  <c r="M293" i="2" s="1"/>
  <c r="H295" i="2"/>
  <c r="G294" i="2"/>
  <c r="J294" i="2"/>
  <c r="I294" i="2"/>
  <c r="K294" i="2" s="1"/>
  <c r="L294" i="2" s="1"/>
  <c r="M294" i="2" s="1"/>
  <c r="G295" i="2" l="1"/>
  <c r="H296" i="2"/>
  <c r="J295" i="2"/>
  <c r="I295" i="2"/>
  <c r="K295" i="2" s="1"/>
  <c r="L295" i="2" s="1"/>
  <c r="M295" i="2" s="1"/>
  <c r="H297" i="2" l="1"/>
  <c r="J296" i="2"/>
  <c r="I296" i="2"/>
  <c r="K296" i="2" s="1"/>
  <c r="L296" i="2" s="1"/>
  <c r="M296" i="2" s="1"/>
  <c r="G296" i="2"/>
  <c r="G297" i="2" l="1"/>
  <c r="H298" i="2"/>
  <c r="J297" i="2"/>
  <c r="I297" i="2"/>
  <c r="K297" i="2" l="1"/>
  <c r="L297" i="2" s="1"/>
  <c r="M297" i="2" s="1"/>
  <c r="H299" i="2"/>
  <c r="J298" i="2"/>
  <c r="I298" i="2"/>
  <c r="K298" i="2" s="1"/>
  <c r="L298" i="2" s="1"/>
  <c r="G298" i="2"/>
  <c r="M298" i="2" l="1"/>
  <c r="G299" i="2"/>
  <c r="H300" i="2"/>
  <c r="J299" i="2"/>
  <c r="I299" i="2"/>
  <c r="K299" i="2" l="1"/>
  <c r="L299" i="2" s="1"/>
  <c r="M299" i="2" s="1"/>
  <c r="H301" i="2"/>
  <c r="I300" i="2"/>
  <c r="G300" i="2"/>
  <c r="J300" i="2"/>
  <c r="K300" i="2" l="1"/>
  <c r="L300" i="2" s="1"/>
  <c r="M300" i="2" s="1"/>
  <c r="G301" i="2"/>
  <c r="I301" i="2"/>
  <c r="H302" i="2"/>
  <c r="J301" i="2"/>
  <c r="K301" i="2" l="1"/>
  <c r="L301" i="2" s="1"/>
  <c r="M301" i="2" s="1"/>
  <c r="H303" i="2"/>
  <c r="G302" i="2"/>
  <c r="J302" i="2"/>
  <c r="I302" i="2"/>
  <c r="G303" i="2" l="1"/>
  <c r="H304" i="2"/>
  <c r="J303" i="2"/>
  <c r="I303" i="2"/>
  <c r="K303" i="2" s="1"/>
  <c r="L303" i="2" s="1"/>
  <c r="K302" i="2"/>
  <c r="L302" i="2" s="1"/>
  <c r="M302" i="2" s="1"/>
  <c r="M303" i="2" l="1"/>
  <c r="H305" i="2"/>
  <c r="J304" i="2"/>
  <c r="I304" i="2"/>
  <c r="K304" i="2" s="1"/>
  <c r="L304" i="2" s="1"/>
  <c r="M304" i="2" s="1"/>
  <c r="G304" i="2"/>
  <c r="G305" i="2" l="1"/>
  <c r="H306" i="2"/>
  <c r="J305" i="2"/>
  <c r="I305" i="2"/>
  <c r="K305" i="2" l="1"/>
  <c r="L305" i="2" s="1"/>
  <c r="M305" i="2" s="1"/>
  <c r="H307" i="2"/>
  <c r="J306" i="2"/>
  <c r="I306" i="2"/>
  <c r="K306" i="2" s="1"/>
  <c r="L306" i="2" s="1"/>
  <c r="M306" i="2" s="1"/>
  <c r="G306" i="2"/>
  <c r="G307" i="2" l="1"/>
  <c r="H308" i="2"/>
  <c r="J307" i="2"/>
  <c r="I307" i="2"/>
  <c r="K307" i="2" s="1"/>
  <c r="L307" i="2" s="1"/>
  <c r="M307" i="2" s="1"/>
  <c r="H309" i="2" l="1"/>
  <c r="I308" i="2"/>
  <c r="G308" i="2"/>
  <c r="J308" i="2"/>
  <c r="K308" i="2" l="1"/>
  <c r="L308" i="2" s="1"/>
  <c r="M308" i="2" s="1"/>
  <c r="I309" i="2"/>
  <c r="J309" i="2"/>
  <c r="G309" i="2"/>
  <c r="H310" i="2"/>
  <c r="K309" i="2" l="1"/>
  <c r="L309" i="2" s="1"/>
  <c r="M309" i="2" s="1"/>
  <c r="G310" i="2"/>
  <c r="J310" i="2"/>
  <c r="H311" i="2"/>
  <c r="I310" i="2"/>
  <c r="I311" i="2" l="1"/>
  <c r="H312" i="2"/>
  <c r="G311" i="2"/>
  <c r="J311" i="2"/>
  <c r="K310" i="2"/>
  <c r="L310" i="2" s="1"/>
  <c r="M310" i="2" s="1"/>
  <c r="G312" i="2" l="1"/>
  <c r="J312" i="2"/>
  <c r="I312" i="2"/>
  <c r="K312" i="2" s="1"/>
  <c r="L312" i="2" s="1"/>
  <c r="H313" i="2"/>
  <c r="K311" i="2"/>
  <c r="L311" i="2" s="1"/>
  <c r="M311" i="2" s="1"/>
  <c r="G313" i="2" l="1"/>
  <c r="J313" i="2"/>
  <c r="I313" i="2"/>
  <c r="H314" i="2"/>
  <c r="M312" i="2"/>
  <c r="K313" i="2" l="1"/>
  <c r="L313" i="2" s="1"/>
  <c r="M313" i="2" s="1"/>
  <c r="G314" i="2"/>
  <c r="J314" i="2"/>
  <c r="H315" i="2"/>
  <c r="I314" i="2"/>
  <c r="K314" i="2" l="1"/>
  <c r="L314" i="2" s="1"/>
  <c r="M314" i="2"/>
  <c r="H316" i="2"/>
  <c r="J315" i="2"/>
  <c r="I315" i="2"/>
  <c r="K315" i="2" s="1"/>
  <c r="L315" i="2" s="1"/>
  <c r="M315" i="2" s="1"/>
  <c r="G315" i="2"/>
  <c r="G316" i="2" l="1"/>
  <c r="J316" i="2"/>
  <c r="H317" i="2"/>
  <c r="I316" i="2"/>
  <c r="K316" i="2" s="1"/>
  <c r="L316" i="2" s="1"/>
  <c r="M316" i="2" s="1"/>
  <c r="J317" i="2" l="1"/>
  <c r="I317" i="2"/>
  <c r="K317" i="2" s="1"/>
  <c r="L317" i="2" s="1"/>
  <c r="M317" i="2" s="1"/>
  <c r="G317" i="2"/>
  <c r="H318" i="2"/>
  <c r="G318" i="2" l="1"/>
  <c r="J318" i="2"/>
  <c r="I318" i="2"/>
  <c r="H319" i="2"/>
  <c r="K318" i="2" l="1"/>
  <c r="L318" i="2" s="1"/>
  <c r="M318" i="2" s="1"/>
  <c r="J319" i="2"/>
  <c r="I319" i="2"/>
  <c r="K319" i="2" s="1"/>
  <c r="L319" i="2" s="1"/>
  <c r="M319" i="2" s="1"/>
  <c r="G319" i="2"/>
  <c r="H320" i="2"/>
  <c r="G320" i="2" l="1"/>
  <c r="H321" i="2"/>
  <c r="J320" i="2"/>
  <c r="I320" i="2"/>
  <c r="K320" i="2" s="1"/>
  <c r="L320" i="2" s="1"/>
  <c r="M320" i="2" s="1"/>
  <c r="J321" i="2" l="1"/>
  <c r="I321" i="2"/>
  <c r="H322" i="2"/>
  <c r="G321" i="2"/>
  <c r="K321" i="2" l="1"/>
  <c r="L321" i="2" s="1"/>
  <c r="M321" i="2" s="1"/>
  <c r="G322" i="2"/>
  <c r="I322" i="2"/>
  <c r="J322" i="2"/>
  <c r="H323" i="2"/>
  <c r="K322" i="2" l="1"/>
  <c r="L322" i="2" s="1"/>
  <c r="M322" i="2" s="1"/>
  <c r="J323" i="2"/>
  <c r="G323" i="2"/>
  <c r="I323" i="2"/>
  <c r="K323" i="2" s="1"/>
  <c r="L323" i="2" s="1"/>
  <c r="M323" i="2" s="1"/>
  <c r="H324" i="2"/>
  <c r="G324" i="2" l="1"/>
  <c r="J324" i="2"/>
  <c r="I324" i="2"/>
  <c r="H325" i="2"/>
  <c r="K324" i="2" l="1"/>
  <c r="L324" i="2" s="1"/>
  <c r="M324" i="2" s="1"/>
  <c r="J325" i="2"/>
  <c r="G325" i="2"/>
  <c r="H326" i="2"/>
  <c r="I325" i="2"/>
  <c r="K325" i="2" s="1"/>
  <c r="L325" i="2" s="1"/>
  <c r="M325" i="2" s="1"/>
  <c r="G326" i="2" l="1"/>
  <c r="H327" i="2"/>
  <c r="I326" i="2"/>
  <c r="J326" i="2"/>
  <c r="K326" i="2" l="1"/>
  <c r="L326" i="2" s="1"/>
  <c r="M326" i="2" s="1"/>
  <c r="J327" i="2"/>
  <c r="I327" i="2"/>
  <c r="K327" i="2" s="1"/>
  <c r="L327" i="2" s="1"/>
  <c r="M327" i="2" s="1"/>
  <c r="H328" i="2"/>
  <c r="G327" i="2"/>
  <c r="G328" i="2" l="1"/>
  <c r="H329" i="2"/>
  <c r="J328" i="2"/>
  <c r="I328" i="2"/>
  <c r="K328" i="2" s="1"/>
  <c r="L328" i="2" s="1"/>
  <c r="M328" i="2" s="1"/>
  <c r="J329" i="2" l="1"/>
  <c r="I329" i="2"/>
  <c r="K329" i="2" s="1"/>
  <c r="L329" i="2" s="1"/>
  <c r="M329" i="2" s="1"/>
  <c r="H330" i="2"/>
  <c r="G329" i="2"/>
  <c r="G330" i="2" l="1"/>
  <c r="I330" i="2"/>
  <c r="H331" i="2"/>
  <c r="J330" i="2"/>
  <c r="J331" i="2" l="1"/>
  <c r="G331" i="2"/>
  <c r="H332" i="2"/>
  <c r="I331" i="2"/>
  <c r="K331" i="2" s="1"/>
  <c r="L331" i="2" s="1"/>
  <c r="K330" i="2"/>
  <c r="L330" i="2" s="1"/>
  <c r="M330" i="2" s="1"/>
  <c r="M331" i="2" l="1"/>
  <c r="G332" i="2"/>
  <c r="H333" i="2"/>
  <c r="J332" i="2"/>
  <c r="I332" i="2"/>
  <c r="K332" i="2" s="1"/>
  <c r="L332" i="2" s="1"/>
  <c r="M332" i="2" s="1"/>
  <c r="J333" i="2" l="1"/>
  <c r="I333" i="2"/>
  <c r="K333" i="2" s="1"/>
  <c r="L333" i="2" s="1"/>
  <c r="M333" i="2" s="1"/>
  <c r="H334" i="2"/>
  <c r="G333" i="2"/>
  <c r="G334" i="2" l="1"/>
  <c r="H335" i="2"/>
  <c r="J334" i="2"/>
  <c r="I334" i="2"/>
  <c r="K334" i="2" s="1"/>
  <c r="L334" i="2" s="1"/>
  <c r="M334" i="2" s="1"/>
  <c r="J335" i="2" l="1"/>
  <c r="I335" i="2"/>
  <c r="K335" i="2" s="1"/>
  <c r="L335" i="2" s="1"/>
  <c r="M335" i="2" s="1"/>
  <c r="H336" i="2"/>
  <c r="G335" i="2"/>
  <c r="G336" i="2" l="1"/>
  <c r="H337" i="2"/>
  <c r="J336" i="2"/>
  <c r="I336" i="2"/>
  <c r="K336" i="2" s="1"/>
  <c r="L336" i="2" s="1"/>
  <c r="M336" i="2" s="1"/>
  <c r="J337" i="2" l="1"/>
  <c r="I337" i="2"/>
  <c r="K337" i="2" s="1"/>
  <c r="L337" i="2" s="1"/>
  <c r="M337" i="2" s="1"/>
  <c r="H338" i="2"/>
  <c r="G337" i="2"/>
  <c r="G338" i="2" l="1"/>
  <c r="I338" i="2"/>
  <c r="H339" i="2"/>
  <c r="J338" i="2"/>
  <c r="J339" i="2" l="1"/>
  <c r="G339" i="2"/>
  <c r="H340" i="2"/>
  <c r="I339" i="2"/>
  <c r="K339" i="2" s="1"/>
  <c r="L339" i="2" s="1"/>
  <c r="K338" i="2"/>
  <c r="L338" i="2" s="1"/>
  <c r="M338" i="2" s="1"/>
  <c r="M339" i="2" l="1"/>
  <c r="G340" i="2"/>
  <c r="H341" i="2"/>
  <c r="J340" i="2"/>
  <c r="I340" i="2"/>
  <c r="K340" i="2" s="1"/>
  <c r="L340" i="2" s="1"/>
  <c r="M340" i="2" s="1"/>
  <c r="J341" i="2" l="1"/>
  <c r="I341" i="2"/>
  <c r="K341" i="2" s="1"/>
  <c r="L341" i="2" s="1"/>
  <c r="M341" i="2" s="1"/>
  <c r="H342" i="2"/>
  <c r="G341" i="2"/>
  <c r="G342" i="2" l="1"/>
  <c r="H343" i="2"/>
  <c r="J342" i="2"/>
  <c r="I342" i="2"/>
  <c r="K342" i="2" s="1"/>
  <c r="L342" i="2" s="1"/>
  <c r="M342" i="2" s="1"/>
  <c r="J343" i="2" l="1"/>
  <c r="I343" i="2"/>
  <c r="K343" i="2" s="1"/>
  <c r="L343" i="2" s="1"/>
  <c r="M343" i="2" s="1"/>
  <c r="H344" i="2"/>
  <c r="G343" i="2"/>
  <c r="G344" i="2" l="1"/>
  <c r="H345" i="2"/>
  <c r="J344" i="2"/>
  <c r="I344" i="2"/>
  <c r="K344" i="2" l="1"/>
  <c r="L344" i="2" s="1"/>
  <c r="M344" i="2" s="1"/>
  <c r="J345" i="2"/>
  <c r="I345" i="2"/>
  <c r="K345" i="2" s="1"/>
  <c r="L345" i="2" s="1"/>
  <c r="M345" i="2" s="1"/>
  <c r="H346" i="2"/>
  <c r="G345" i="2"/>
  <c r="G346" i="2" l="1"/>
  <c r="I346" i="2"/>
  <c r="H347" i="2"/>
  <c r="J346" i="2"/>
  <c r="J347" i="2" l="1"/>
  <c r="G347" i="2"/>
  <c r="I347" i="2"/>
  <c r="K347" i="2" s="1"/>
  <c r="L347" i="2" s="1"/>
  <c r="H348" i="2"/>
  <c r="K346" i="2"/>
  <c r="L346" i="2" s="1"/>
  <c r="M346" i="2" s="1"/>
  <c r="M347" i="2" l="1"/>
  <c r="G348" i="2"/>
  <c r="J348" i="2"/>
  <c r="I348" i="2"/>
  <c r="K348" i="2" s="1"/>
  <c r="L348" i="2" s="1"/>
  <c r="M348" i="2" s="1"/>
  <c r="H349" i="2"/>
  <c r="H350" i="2" l="1"/>
  <c r="G349" i="2"/>
  <c r="J349" i="2"/>
  <c r="I349" i="2"/>
  <c r="K349" i="2" s="1"/>
  <c r="L349" i="2" s="1"/>
  <c r="M349" i="2" s="1"/>
  <c r="J350" i="2" l="1"/>
  <c r="G350" i="2"/>
  <c r="H351" i="2"/>
  <c r="I350" i="2"/>
  <c r="K350" i="2" s="1"/>
  <c r="L350" i="2" s="1"/>
  <c r="M350" i="2" s="1"/>
  <c r="H352" i="2" l="1"/>
  <c r="J351" i="2"/>
  <c r="I351" i="2"/>
  <c r="K351" i="2" s="1"/>
  <c r="L351" i="2" s="1"/>
  <c r="M351" i="2" s="1"/>
  <c r="G351" i="2"/>
  <c r="J352" i="2" l="1"/>
  <c r="H353" i="2"/>
  <c r="I352" i="2"/>
  <c r="K352" i="2" s="1"/>
  <c r="L352" i="2" s="1"/>
  <c r="M352" i="2" s="1"/>
  <c r="G352" i="2"/>
  <c r="H354" i="2" l="1"/>
  <c r="I353" i="2"/>
  <c r="J353" i="2"/>
  <c r="G353" i="2"/>
  <c r="K353" i="2" l="1"/>
  <c r="L353" i="2" s="1"/>
  <c r="M353" i="2" s="1"/>
  <c r="J354" i="2"/>
  <c r="G354" i="2"/>
  <c r="H355" i="2"/>
  <c r="I354" i="2"/>
  <c r="K354" i="2" s="1"/>
  <c r="L354" i="2" s="1"/>
  <c r="M354" i="2" s="1"/>
  <c r="G355" i="2" l="1"/>
  <c r="H356" i="2"/>
  <c r="I355" i="2"/>
  <c r="J355" i="2"/>
  <c r="K355" i="2" l="1"/>
  <c r="L355" i="2" s="1"/>
  <c r="M355" i="2" s="1"/>
  <c r="J356" i="2"/>
  <c r="I356" i="2"/>
  <c r="G356" i="2"/>
  <c r="H357" i="2"/>
  <c r="K356" i="2" l="1"/>
  <c r="L356" i="2" s="1"/>
  <c r="M356" i="2" s="1"/>
  <c r="G357" i="2"/>
  <c r="H358" i="2"/>
  <c r="J357" i="2"/>
  <c r="I357" i="2"/>
  <c r="J358" i="2" l="1"/>
  <c r="I358" i="2"/>
  <c r="G358" i="2"/>
  <c r="H359" i="2"/>
  <c r="K357" i="2"/>
  <c r="L357" i="2" s="1"/>
  <c r="M357" i="2" s="1"/>
  <c r="K358" i="2" l="1"/>
  <c r="L358" i="2" s="1"/>
  <c r="M358" i="2"/>
  <c r="G359" i="2"/>
  <c r="H360" i="2"/>
  <c r="J359" i="2"/>
  <c r="I359" i="2"/>
  <c r="K359" i="2" s="1"/>
  <c r="L359" i="2" s="1"/>
  <c r="M359" i="2" s="1"/>
  <c r="J360" i="2" l="1"/>
  <c r="I360" i="2"/>
  <c r="K360" i="2" s="1"/>
  <c r="L360" i="2" s="1"/>
  <c r="M360" i="2" s="1"/>
  <c r="G360" i="2"/>
  <c r="H361" i="2"/>
  <c r="G361" i="2" l="1"/>
  <c r="H362" i="2"/>
  <c r="J361" i="2"/>
  <c r="I361" i="2"/>
  <c r="K361" i="2" s="1"/>
  <c r="L361" i="2" s="1"/>
  <c r="M361" i="2" s="1"/>
  <c r="J362" i="2" l="1"/>
  <c r="I362" i="2"/>
  <c r="G362" i="2"/>
  <c r="H363" i="2"/>
  <c r="K362" i="2" l="1"/>
  <c r="L362" i="2" s="1"/>
  <c r="M362" i="2" s="1"/>
  <c r="G363" i="2"/>
  <c r="H364" i="2"/>
  <c r="J363" i="2"/>
  <c r="I363" i="2"/>
  <c r="K363" i="2" s="1"/>
  <c r="L363" i="2" s="1"/>
  <c r="M363" i="2" s="1"/>
  <c r="J364" i="2" l="1"/>
  <c r="I364" i="2"/>
  <c r="K364" i="2" s="1"/>
  <c r="L364" i="2" s="1"/>
  <c r="M364" i="2" s="1"/>
  <c r="G364" i="2"/>
  <c r="H365" i="2"/>
  <c r="G365" i="2" l="1"/>
  <c r="H366" i="2"/>
  <c r="J365" i="2"/>
  <c r="I365" i="2"/>
  <c r="K365" i="2" s="1"/>
  <c r="L365" i="2" s="1"/>
  <c r="M365" i="2" s="1"/>
  <c r="J366" i="2" l="1"/>
  <c r="I366" i="2"/>
  <c r="K366" i="2" s="1"/>
  <c r="L366" i="2" s="1"/>
  <c r="G366" i="2"/>
  <c r="M366" i="2" l="1"/>
  <c r="G1" i="2"/>
  <c r="B5" i="2" l="1"/>
  <c r="B3" i="2"/>
  <c r="B8" i="2"/>
  <c r="B11" i="2"/>
  <c r="B9" i="2"/>
  <c r="B6" i="2"/>
  <c r="B15" i="2"/>
  <c r="B14" i="2"/>
  <c r="B12" i="2"/>
  <c r="B13" i="2"/>
  <c r="B10" i="2"/>
  <c r="B7" i="2"/>
  <c r="C35" i="2" l="1"/>
  <c r="C34" i="2"/>
  <c r="C36" i="2"/>
  <c r="C37" i="2"/>
  <c r="C39" i="2"/>
  <c r="C38" i="2"/>
  <c r="C41" i="2"/>
  <c r="C40" i="2"/>
  <c r="C42" i="2"/>
  <c r="C43" i="2"/>
  <c r="C45" i="2"/>
  <c r="C44" i="2"/>
  <c r="C47" i="2"/>
  <c r="C46" i="2"/>
  <c r="C48" i="2"/>
  <c r="C49" i="2"/>
  <c r="C51" i="2"/>
  <c r="C50" i="2"/>
  <c r="C52" i="2"/>
  <c r="C53" i="2"/>
  <c r="C55" i="2"/>
  <c r="C54" i="2"/>
  <c r="C57" i="2"/>
  <c r="C56" i="2"/>
  <c r="C58" i="2"/>
  <c r="C59" i="2"/>
  <c r="C60" i="2"/>
  <c r="C61" i="2"/>
  <c r="C62" i="2"/>
  <c r="C63" i="2"/>
  <c r="C65" i="2"/>
  <c r="C64" i="2"/>
  <c r="C67" i="2"/>
  <c r="C66" i="2"/>
  <c r="C68" i="2"/>
  <c r="C69" i="2"/>
  <c r="C71" i="2"/>
  <c r="C70" i="2"/>
  <c r="C72" i="2"/>
  <c r="C29" i="2"/>
  <c r="C23" i="2"/>
  <c r="C22" i="2"/>
  <c r="C21" i="2"/>
  <c r="C31" i="2"/>
  <c r="C27" i="2"/>
  <c r="C28" i="2"/>
  <c r="C16" i="2"/>
  <c r="C30" i="2"/>
  <c r="C17" i="2"/>
  <c r="C18" i="2"/>
  <c r="C25" i="2"/>
  <c r="C19" i="2"/>
  <c r="C33" i="2"/>
  <c r="C24" i="2"/>
  <c r="C32" i="2"/>
  <c r="C26" i="2"/>
  <c r="C20" i="2"/>
  <c r="C5" i="2"/>
  <c r="C11" i="2"/>
  <c r="C10" i="2"/>
  <c r="C13" i="2"/>
  <c r="C15" i="2"/>
  <c r="C8" i="2"/>
  <c r="C6" i="2"/>
  <c r="C7" i="2"/>
  <c r="C12" i="2"/>
  <c r="C14" i="2"/>
  <c r="C9" i="2"/>
</calcChain>
</file>

<file path=xl/sharedStrings.xml><?xml version="1.0" encoding="utf-8"?>
<sst xmlns="http://schemas.openxmlformats.org/spreadsheetml/2006/main" count="50" uniqueCount="37">
  <si>
    <t>Isholiday</t>
  </si>
  <si>
    <t>weekday</t>
  </si>
  <si>
    <t>day weight</t>
  </si>
  <si>
    <t>cumsum</t>
  </si>
  <si>
    <t>wkend</t>
  </si>
  <si>
    <t>Date</t>
  </si>
  <si>
    <t>Day</t>
  </si>
  <si>
    <t>Description</t>
  </si>
  <si>
    <t>hol</t>
  </si>
  <si>
    <t>December 25, 2025</t>
  </si>
  <si>
    <t>Thursday</t>
  </si>
  <si>
    <t>Christmas</t>
  </si>
  <si>
    <t># days</t>
  </si>
  <si>
    <t>January 26,2026</t>
  </si>
  <si>
    <t>Monday</t>
  </si>
  <si>
    <t>Republic Day</t>
  </si>
  <si>
    <t>Tuesday</t>
  </si>
  <si>
    <t>Holi</t>
  </si>
  <si>
    <t>Shri Ram Navami</t>
  </si>
  <si>
    <t>Shri Mahavir Jayanti</t>
  </si>
  <si>
    <t>Friday</t>
  </si>
  <si>
    <t>Good Friday</t>
  </si>
  <si>
    <t>Dr. Baba Saheb Ambedkar Jayanti</t>
  </si>
  <si>
    <t>Maharashtra Day</t>
  </si>
  <si>
    <t>Bakri Id</t>
  </si>
  <si>
    <t>Muharram</t>
  </si>
  <si>
    <t>Ganesh Chaturthi</t>
  </si>
  <si>
    <t>Mahatma Gandhi Jayanti</t>
  </si>
  <si>
    <t>Dussehra</t>
  </si>
  <si>
    <t>Diwali-Balipratipada</t>
  </si>
  <si>
    <t>Prakash Gurpurb Sri Guru Nanak Dev</t>
  </si>
  <si>
    <t>Isholiday?</t>
  </si>
  <si>
    <t>a</t>
  </si>
  <si>
    <t>bL</t>
  </si>
  <si>
    <t>bR</t>
  </si>
  <si>
    <t>capL</t>
  </si>
  <si>
    <t>floorR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</si>
</sst>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_ ;[Red]\-#,##0.00\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rgb="FF44475B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E9E9EB"/>
      </left>
      <right style="medium">
        <color rgb="FFE9E9EB"/>
      </right>
      <top style="medium">
        <color rgb="FFE9E9EB"/>
      </top>
      <bottom style="medium">
        <color rgb="FFE9E9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 indent="1"/>
    </xf>
    <xf numFmtId="15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15" fontId="1" fillId="0" borderId="0" xfId="0" applyNumberFormat="1" applyFont="1" applyAlignment="1">
      <alignment horizontal="left"/>
    </xf>
    <xf numFmtId="0" fontId="3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quotePrefix="1" applyFont="1" applyFill="1" applyBorder="1" applyAlignment="1">
      <alignment horizontal="left" vertical="center" wrapText="1" indent="1"/>
    </xf>
    <xf numFmtId="2" fontId="2" fillId="5" borderId="0" xfId="0" applyNumberFormat="1" applyFont="1" applyFill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E3FC-8F3A-49C9-A3B8-3FDB55723B8C}">
  <sheetPr codeName="Sheet12"/>
  <dimension ref="A1:X459"/>
  <sheetViews>
    <sheetView zoomScale="80" zoomScaleNormal="80" workbookViewId="0"/>
  </sheetViews>
  <sheetFormatPr defaultRowHeight="17.25" customHeight="1" x14ac:dyDescent="0.25"/>
  <cols>
    <col min="1" max="1" width="10.85546875" style="2" bestFit="1" customWidth="1"/>
    <col min="2" max="3" width="9.140625" style="2"/>
    <col min="5" max="7" width="9.140625" style="2"/>
    <col min="8" max="8" width="10.85546875" style="2" bestFit="1" customWidth="1"/>
    <col min="9" max="9" width="9.140625" style="2"/>
    <col min="10" max="11" width="9.140625" style="6"/>
    <col min="12" max="14" width="9.140625" style="2"/>
    <col min="18" max="19" width="9.140625" style="2"/>
    <col min="20" max="20" width="10.7109375" style="1" bestFit="1" customWidth="1"/>
    <col min="21" max="21" width="26.85546875" style="2" customWidth="1"/>
    <col min="22" max="22" width="26.5703125" style="2" customWidth="1"/>
    <col min="23" max="23" width="24" style="2" customWidth="1"/>
    <col min="24" max="24" width="17.28515625" style="2" customWidth="1"/>
    <col min="25" max="16384" width="9.140625" style="2"/>
  </cols>
  <sheetData>
    <row r="1" spans="1:24" ht="17.25" customHeight="1" thickBot="1" x14ac:dyDescent="0.3">
      <c r="A1" s="2" t="s">
        <v>4</v>
      </c>
      <c r="B1" s="2">
        <v>0.25</v>
      </c>
      <c r="D1" t="s">
        <v>31</v>
      </c>
      <c r="G1" s="5">
        <f>+SUM(L2:L366)</f>
        <v>255.5</v>
      </c>
      <c r="I1" s="2" t="s">
        <v>0</v>
      </c>
      <c r="J1" s="6" t="s">
        <v>1</v>
      </c>
      <c r="L1" s="2" t="s">
        <v>2</v>
      </c>
      <c r="M1" s="2" t="s">
        <v>3</v>
      </c>
    </row>
    <row r="2" spans="1:24" ht="17.25" customHeight="1" thickBot="1" x14ac:dyDescent="0.3">
      <c r="A2" s="2" t="s">
        <v>8</v>
      </c>
      <c r="B2" s="2">
        <v>0.5</v>
      </c>
      <c r="G2" s="2" t="str">
        <f t="shared" ref="G2:G65" si="0">TEXT(H2,"ddd")</f>
        <v>Thu</v>
      </c>
      <c r="H2" s="8">
        <v>46023</v>
      </c>
      <c r="I2" s="6">
        <f t="shared" ref="I2:I65" si="1">IF(ISNUMBER(VLOOKUP(H2,$T$3:$X$18,5,FALSE)),1,0)</f>
        <v>0</v>
      </c>
      <c r="J2" s="6">
        <f>WEEKDAY(H2)</f>
        <v>5</v>
      </c>
      <c r="K2" s="9">
        <f t="shared" ref="K2:K65" si="2">IF(I2=1,$B$2,IF(AND(J2&lt;7,J2&gt;1),1,0))</f>
        <v>1</v>
      </c>
      <c r="L2" s="10">
        <f>+K2</f>
        <v>1</v>
      </c>
      <c r="M2" s="10">
        <f>+L2</f>
        <v>1</v>
      </c>
      <c r="U2" s="7" t="s">
        <v>5</v>
      </c>
      <c r="V2" s="7" t="s">
        <v>6</v>
      </c>
      <c r="W2" s="7" t="s">
        <v>7</v>
      </c>
    </row>
    <row r="3" spans="1:24" ht="17.25" customHeight="1" thickBot="1" x14ac:dyDescent="0.3">
      <c r="A3" s="8">
        <f ca="1">TODAY()</f>
        <v>46153</v>
      </c>
      <c r="B3" s="4">
        <f ca="1">+VLOOKUP(A3,H:M,6,FALSE)</f>
        <v>91.5</v>
      </c>
      <c r="C3" s="2" t="s">
        <v>12</v>
      </c>
      <c r="G3" s="2" t="str">
        <f t="shared" si="0"/>
        <v>Fri</v>
      </c>
      <c r="H3" s="8">
        <f>+H2+1</f>
        <v>46024</v>
      </c>
      <c r="I3" s="6">
        <f t="shared" si="1"/>
        <v>0</v>
      </c>
      <c r="J3" s="6">
        <f t="shared" ref="J3:J66" si="3">WEEKDAY(H3)</f>
        <v>6</v>
      </c>
      <c r="K3" s="9">
        <f t="shared" si="2"/>
        <v>1</v>
      </c>
      <c r="L3" s="10">
        <f t="shared" ref="L3:L66" si="4">+K3</f>
        <v>1</v>
      </c>
      <c r="M3" s="10">
        <f>+L3+M2</f>
        <v>2</v>
      </c>
      <c r="T3" s="11">
        <v>46016</v>
      </c>
      <c r="U3" s="12" t="s">
        <v>9</v>
      </c>
      <c r="V3" s="12" t="s">
        <v>10</v>
      </c>
      <c r="W3" s="12" t="s">
        <v>11</v>
      </c>
      <c r="X3" s="2">
        <v>1</v>
      </c>
    </row>
    <row r="4" spans="1:24" ht="17.25" customHeight="1" thickBot="1" x14ac:dyDescent="0.3">
      <c r="G4" s="2" t="str">
        <f t="shared" si="0"/>
        <v>Sat</v>
      </c>
      <c r="H4" s="8">
        <f t="shared" ref="H4:H67" si="5">+H3+1</f>
        <v>46025</v>
      </c>
      <c r="I4" s="6">
        <f t="shared" si="1"/>
        <v>0</v>
      </c>
      <c r="J4" s="6">
        <f t="shared" si="3"/>
        <v>7</v>
      </c>
      <c r="K4" s="9">
        <f t="shared" si="2"/>
        <v>0</v>
      </c>
      <c r="L4" s="10">
        <f t="shared" si="4"/>
        <v>0</v>
      </c>
      <c r="M4" s="10">
        <f t="shared" ref="M4:M67" si="6">+L4+M3</f>
        <v>2</v>
      </c>
      <c r="T4" s="11">
        <v>46048</v>
      </c>
      <c r="U4" s="7" t="s">
        <v>13</v>
      </c>
      <c r="V4" s="7" t="s">
        <v>14</v>
      </c>
      <c r="W4" s="7" t="s">
        <v>15</v>
      </c>
      <c r="X4" s="2">
        <v>1</v>
      </c>
    </row>
    <row r="5" spans="1:24" ht="17.25" customHeight="1" thickBot="1" x14ac:dyDescent="0.3">
      <c r="A5" s="8">
        <v>46154</v>
      </c>
      <c r="B5" s="4">
        <f t="shared" ref="B5:B15" si="7">+VLOOKUP(A5,H:M,6,FALSE)</f>
        <v>92.5</v>
      </c>
      <c r="C5" s="16">
        <f t="shared" ref="C5:C15" ca="1" si="8">+B5-$B$3</f>
        <v>1</v>
      </c>
      <c r="D5">
        <f>VLOOKUP(A5,$H:$I,2,FALSE)</f>
        <v>0</v>
      </c>
      <c r="G5" s="2" t="str">
        <f t="shared" si="0"/>
        <v>Sun</v>
      </c>
      <c r="H5" s="8">
        <f t="shared" si="5"/>
        <v>46026</v>
      </c>
      <c r="I5" s="6">
        <f t="shared" si="1"/>
        <v>0</v>
      </c>
      <c r="J5" s="6">
        <f t="shared" si="3"/>
        <v>1</v>
      </c>
      <c r="K5" s="9">
        <f t="shared" si="2"/>
        <v>0</v>
      </c>
      <c r="L5" s="10">
        <f t="shared" si="4"/>
        <v>0</v>
      </c>
      <c r="M5" s="10">
        <f t="shared" si="6"/>
        <v>2</v>
      </c>
      <c r="T5" s="11">
        <v>46084</v>
      </c>
      <c r="U5" s="12"/>
      <c r="V5" s="12" t="s">
        <v>16</v>
      </c>
      <c r="W5" s="12" t="s">
        <v>17</v>
      </c>
      <c r="X5" s="2">
        <v>1</v>
      </c>
    </row>
    <row r="6" spans="1:24" ht="17.25" customHeight="1" thickBot="1" x14ac:dyDescent="0.3">
      <c r="A6" s="8">
        <v>46156</v>
      </c>
      <c r="B6" s="4">
        <f t="shared" si="7"/>
        <v>94.5</v>
      </c>
      <c r="C6" s="16">
        <f t="shared" ca="1" si="8"/>
        <v>3</v>
      </c>
      <c r="D6">
        <f t="shared" ref="D6:D15" si="9">VLOOKUP(A6,$H:$I,2,FALSE)</f>
        <v>0</v>
      </c>
      <c r="G6" s="2" t="str">
        <f t="shared" si="0"/>
        <v>Mon</v>
      </c>
      <c r="H6" s="8">
        <f t="shared" si="5"/>
        <v>46027</v>
      </c>
      <c r="I6" s="6">
        <f t="shared" si="1"/>
        <v>0</v>
      </c>
      <c r="J6" s="6">
        <f t="shared" si="3"/>
        <v>2</v>
      </c>
      <c r="K6" s="9">
        <f t="shared" si="2"/>
        <v>1</v>
      </c>
      <c r="L6" s="10">
        <f t="shared" si="4"/>
        <v>1</v>
      </c>
      <c r="M6" s="10">
        <f t="shared" si="6"/>
        <v>3</v>
      </c>
      <c r="T6" s="11">
        <v>46107</v>
      </c>
      <c r="U6" s="7"/>
      <c r="V6" s="7" t="s">
        <v>10</v>
      </c>
      <c r="W6" s="7" t="s">
        <v>18</v>
      </c>
      <c r="X6" s="2">
        <v>1</v>
      </c>
    </row>
    <row r="7" spans="1:24" ht="17.25" customHeight="1" thickBot="1" x14ac:dyDescent="0.3">
      <c r="A7" s="8">
        <v>46161</v>
      </c>
      <c r="B7" s="4">
        <f t="shared" si="7"/>
        <v>97.5</v>
      </c>
      <c r="C7" s="16">
        <f t="shared" ca="1" si="8"/>
        <v>6</v>
      </c>
      <c r="D7">
        <f t="shared" si="9"/>
        <v>0</v>
      </c>
      <c r="G7" s="2" t="str">
        <f t="shared" si="0"/>
        <v>Tue</v>
      </c>
      <c r="H7" s="8">
        <f t="shared" si="5"/>
        <v>46028</v>
      </c>
      <c r="I7" s="6">
        <f t="shared" si="1"/>
        <v>0</v>
      </c>
      <c r="J7" s="6">
        <f t="shared" si="3"/>
        <v>3</v>
      </c>
      <c r="K7" s="9">
        <f t="shared" si="2"/>
        <v>1</v>
      </c>
      <c r="L7" s="10">
        <f t="shared" si="4"/>
        <v>1</v>
      </c>
      <c r="M7" s="10">
        <f t="shared" si="6"/>
        <v>4</v>
      </c>
      <c r="T7" s="11">
        <v>46112</v>
      </c>
      <c r="U7" s="12"/>
      <c r="V7" s="12" t="s">
        <v>16</v>
      </c>
      <c r="W7" s="12" t="s">
        <v>19</v>
      </c>
      <c r="X7" s="2">
        <v>1</v>
      </c>
    </row>
    <row r="8" spans="1:24" ht="17.25" customHeight="1" thickBot="1" x14ac:dyDescent="0.3">
      <c r="A8" s="8">
        <v>46163</v>
      </c>
      <c r="B8" s="4">
        <f t="shared" si="7"/>
        <v>99.5</v>
      </c>
      <c r="C8" s="16">
        <f t="shared" ca="1" si="8"/>
        <v>8</v>
      </c>
      <c r="D8">
        <f t="shared" si="9"/>
        <v>0</v>
      </c>
      <c r="G8" s="2" t="str">
        <f t="shared" si="0"/>
        <v>Wed</v>
      </c>
      <c r="H8" s="8">
        <f t="shared" si="5"/>
        <v>46029</v>
      </c>
      <c r="I8" s="6">
        <f t="shared" si="1"/>
        <v>0</v>
      </c>
      <c r="J8" s="6">
        <f t="shared" si="3"/>
        <v>4</v>
      </c>
      <c r="K8" s="9">
        <f t="shared" si="2"/>
        <v>1</v>
      </c>
      <c r="L8" s="10">
        <f t="shared" si="4"/>
        <v>1</v>
      </c>
      <c r="M8" s="10">
        <f t="shared" si="6"/>
        <v>5</v>
      </c>
      <c r="T8" s="11">
        <v>46115</v>
      </c>
      <c r="U8" s="7"/>
      <c r="V8" s="7" t="s">
        <v>20</v>
      </c>
      <c r="W8" s="7" t="s">
        <v>21</v>
      </c>
      <c r="X8" s="2">
        <v>1</v>
      </c>
    </row>
    <row r="9" spans="1:24" ht="17.25" customHeight="1" thickBot="1" x14ac:dyDescent="0.3">
      <c r="A9" s="8">
        <v>46168</v>
      </c>
      <c r="B9" s="4">
        <f t="shared" si="7"/>
        <v>102.5</v>
      </c>
      <c r="C9" s="16">
        <f t="shared" ca="1" si="8"/>
        <v>11</v>
      </c>
      <c r="D9">
        <f t="shared" si="9"/>
        <v>0</v>
      </c>
      <c r="G9" s="2" t="str">
        <f t="shared" si="0"/>
        <v>Thu</v>
      </c>
      <c r="H9" s="8">
        <f t="shared" si="5"/>
        <v>46030</v>
      </c>
      <c r="I9" s="6">
        <f t="shared" si="1"/>
        <v>0</v>
      </c>
      <c r="J9" s="6">
        <f t="shared" si="3"/>
        <v>5</v>
      </c>
      <c r="K9" s="9">
        <f t="shared" si="2"/>
        <v>1</v>
      </c>
      <c r="L9" s="10">
        <f t="shared" si="4"/>
        <v>1</v>
      </c>
      <c r="M9" s="10">
        <f t="shared" si="6"/>
        <v>6</v>
      </c>
      <c r="T9" s="11">
        <v>46126</v>
      </c>
      <c r="U9" s="12"/>
      <c r="V9" s="12" t="s">
        <v>16</v>
      </c>
      <c r="W9" s="12" t="s">
        <v>22</v>
      </c>
      <c r="X9" s="2">
        <v>1</v>
      </c>
    </row>
    <row r="10" spans="1:24" ht="17.25" customHeight="1" thickBot="1" x14ac:dyDescent="0.3">
      <c r="A10" s="8">
        <v>46169</v>
      </c>
      <c r="B10" s="4">
        <f t="shared" si="7"/>
        <v>103.5</v>
      </c>
      <c r="C10" s="16">
        <f t="shared" ca="1" si="8"/>
        <v>12</v>
      </c>
      <c r="D10">
        <f t="shared" si="9"/>
        <v>0</v>
      </c>
      <c r="G10" s="2" t="str">
        <f t="shared" si="0"/>
        <v>Fri</v>
      </c>
      <c r="H10" s="8">
        <f t="shared" si="5"/>
        <v>46031</v>
      </c>
      <c r="I10" s="6">
        <f t="shared" si="1"/>
        <v>0</v>
      </c>
      <c r="J10" s="6">
        <f t="shared" si="3"/>
        <v>6</v>
      </c>
      <c r="K10" s="9">
        <f t="shared" si="2"/>
        <v>1</v>
      </c>
      <c r="L10" s="10">
        <f t="shared" si="4"/>
        <v>1</v>
      </c>
      <c r="M10" s="10">
        <f t="shared" si="6"/>
        <v>7</v>
      </c>
      <c r="T10" s="11">
        <v>46143</v>
      </c>
      <c r="U10" s="13"/>
      <c r="V10" s="7" t="s">
        <v>20</v>
      </c>
      <c r="W10" s="7" t="s">
        <v>23</v>
      </c>
      <c r="X10" s="2">
        <v>1</v>
      </c>
    </row>
    <row r="11" spans="1:24" ht="17.25" customHeight="1" thickBot="1" x14ac:dyDescent="0.3">
      <c r="A11" s="8">
        <v>46175</v>
      </c>
      <c r="B11" s="4">
        <f t="shared" si="7"/>
        <v>107</v>
      </c>
      <c r="C11" s="16">
        <f t="shared" ca="1" si="8"/>
        <v>15.5</v>
      </c>
      <c r="D11">
        <f t="shared" si="9"/>
        <v>0</v>
      </c>
      <c r="G11" s="2" t="str">
        <f t="shared" si="0"/>
        <v>Sat</v>
      </c>
      <c r="H11" s="8">
        <f t="shared" si="5"/>
        <v>46032</v>
      </c>
      <c r="I11" s="6">
        <f t="shared" si="1"/>
        <v>0</v>
      </c>
      <c r="J11" s="6">
        <f t="shared" si="3"/>
        <v>7</v>
      </c>
      <c r="K11" s="9">
        <f t="shared" si="2"/>
        <v>0</v>
      </c>
      <c r="L11" s="10">
        <f t="shared" si="4"/>
        <v>0</v>
      </c>
      <c r="M11" s="10">
        <f t="shared" si="6"/>
        <v>7</v>
      </c>
      <c r="T11" s="11">
        <v>46170</v>
      </c>
      <c r="U11" s="13"/>
      <c r="V11" s="12" t="s">
        <v>10</v>
      </c>
      <c r="W11" s="12" t="s">
        <v>24</v>
      </c>
      <c r="X11" s="2">
        <v>1</v>
      </c>
    </row>
    <row r="12" spans="1:24" ht="17.25" customHeight="1" thickBot="1" x14ac:dyDescent="0.3">
      <c r="A12" s="8">
        <v>46177</v>
      </c>
      <c r="B12" s="4">
        <f t="shared" si="7"/>
        <v>109</v>
      </c>
      <c r="C12" s="16">
        <f t="shared" ca="1" si="8"/>
        <v>17.5</v>
      </c>
      <c r="D12">
        <f t="shared" si="9"/>
        <v>0</v>
      </c>
      <c r="G12" s="2" t="str">
        <f t="shared" si="0"/>
        <v>Sun</v>
      </c>
      <c r="H12" s="8">
        <f t="shared" si="5"/>
        <v>46033</v>
      </c>
      <c r="I12" s="6">
        <f t="shared" si="1"/>
        <v>0</v>
      </c>
      <c r="J12" s="6">
        <f t="shared" si="3"/>
        <v>1</v>
      </c>
      <c r="K12" s="9">
        <f t="shared" si="2"/>
        <v>0</v>
      </c>
      <c r="L12" s="10">
        <f t="shared" si="4"/>
        <v>0</v>
      </c>
      <c r="M12" s="10">
        <f t="shared" si="6"/>
        <v>7</v>
      </c>
      <c r="T12" s="11">
        <v>46199</v>
      </c>
      <c r="U12" s="13"/>
      <c r="V12" s="7" t="s">
        <v>20</v>
      </c>
      <c r="W12" s="7" t="s">
        <v>25</v>
      </c>
      <c r="X12" s="2">
        <v>1</v>
      </c>
    </row>
    <row r="13" spans="1:24" ht="17.25" customHeight="1" thickBot="1" x14ac:dyDescent="0.3">
      <c r="A13" s="8">
        <v>46182</v>
      </c>
      <c r="B13" s="4">
        <f t="shared" si="7"/>
        <v>112</v>
      </c>
      <c r="C13" s="16">
        <f t="shared" ca="1" si="8"/>
        <v>20.5</v>
      </c>
      <c r="D13">
        <f t="shared" si="9"/>
        <v>0</v>
      </c>
      <c r="G13" s="2" t="str">
        <f t="shared" si="0"/>
        <v>Mon</v>
      </c>
      <c r="H13" s="8">
        <f t="shared" si="5"/>
        <v>46034</v>
      </c>
      <c r="I13" s="6">
        <f t="shared" si="1"/>
        <v>0</v>
      </c>
      <c r="J13" s="6">
        <f t="shared" si="3"/>
        <v>2</v>
      </c>
      <c r="K13" s="9">
        <f t="shared" si="2"/>
        <v>1</v>
      </c>
      <c r="L13" s="10">
        <f t="shared" si="4"/>
        <v>1</v>
      </c>
      <c r="M13" s="10">
        <f t="shared" si="6"/>
        <v>8</v>
      </c>
      <c r="T13" s="11">
        <v>46279</v>
      </c>
      <c r="U13" s="13"/>
      <c r="V13" s="12" t="s">
        <v>14</v>
      </c>
      <c r="W13" s="12" t="s">
        <v>26</v>
      </c>
      <c r="X13" s="2">
        <v>1</v>
      </c>
    </row>
    <row r="14" spans="1:24" ht="17.25" customHeight="1" thickBot="1" x14ac:dyDescent="0.3">
      <c r="A14" s="8">
        <v>46184</v>
      </c>
      <c r="B14" s="4">
        <f t="shared" si="7"/>
        <v>114</v>
      </c>
      <c r="C14" s="16">
        <f t="shared" ca="1" si="8"/>
        <v>22.5</v>
      </c>
      <c r="D14">
        <f t="shared" si="9"/>
        <v>0</v>
      </c>
      <c r="G14" s="2" t="str">
        <f t="shared" si="0"/>
        <v>Tue</v>
      </c>
      <c r="H14" s="8">
        <f t="shared" si="5"/>
        <v>46035</v>
      </c>
      <c r="I14" s="6">
        <f t="shared" si="1"/>
        <v>0</v>
      </c>
      <c r="J14" s="6">
        <f t="shared" si="3"/>
        <v>3</v>
      </c>
      <c r="K14" s="9">
        <f t="shared" si="2"/>
        <v>1</v>
      </c>
      <c r="L14" s="10">
        <f t="shared" si="4"/>
        <v>1</v>
      </c>
      <c r="M14" s="10">
        <f t="shared" si="6"/>
        <v>9</v>
      </c>
      <c r="T14" s="11">
        <v>46297</v>
      </c>
      <c r="U14" s="13"/>
      <c r="V14" s="7" t="s">
        <v>20</v>
      </c>
      <c r="W14" s="7" t="s">
        <v>27</v>
      </c>
      <c r="X14" s="2">
        <v>1</v>
      </c>
    </row>
    <row r="15" spans="1:24" ht="17.25" customHeight="1" thickBot="1" x14ac:dyDescent="0.3">
      <c r="A15" s="8">
        <v>46189</v>
      </c>
      <c r="B15" s="4">
        <f t="shared" si="7"/>
        <v>117</v>
      </c>
      <c r="C15" s="16">
        <f t="shared" ca="1" si="8"/>
        <v>25.5</v>
      </c>
      <c r="D15">
        <f t="shared" si="9"/>
        <v>0</v>
      </c>
      <c r="G15" s="2" t="str">
        <f t="shared" si="0"/>
        <v>Wed</v>
      </c>
      <c r="H15" s="8">
        <f t="shared" si="5"/>
        <v>46036</v>
      </c>
      <c r="I15" s="6">
        <f t="shared" si="1"/>
        <v>0</v>
      </c>
      <c r="J15" s="6">
        <f t="shared" si="3"/>
        <v>4</v>
      </c>
      <c r="K15" s="9">
        <f t="shared" si="2"/>
        <v>1</v>
      </c>
      <c r="L15" s="10">
        <f t="shared" si="4"/>
        <v>1</v>
      </c>
      <c r="M15" s="10">
        <f t="shared" si="6"/>
        <v>10</v>
      </c>
      <c r="T15" s="11">
        <v>46315</v>
      </c>
      <c r="U15" s="13"/>
      <c r="V15" s="12" t="s">
        <v>16</v>
      </c>
      <c r="W15" s="12" t="s">
        <v>28</v>
      </c>
      <c r="X15" s="2">
        <v>1</v>
      </c>
    </row>
    <row r="16" spans="1:24" ht="17.25" customHeight="1" thickBot="1" x14ac:dyDescent="0.3">
      <c r="A16" s="8">
        <v>46191</v>
      </c>
      <c r="B16" s="4">
        <f t="shared" ref="B16:B33" si="10">+VLOOKUP(A16,H:M,6,FALSE)</f>
        <v>119</v>
      </c>
      <c r="C16" s="16">
        <f t="shared" ref="C16:C72" ca="1" si="11">+B16-$B$3</f>
        <v>27.5</v>
      </c>
      <c r="D16">
        <f t="shared" ref="D16:D33" si="12">VLOOKUP(A16,$H:$I,2,FALSE)</f>
        <v>0</v>
      </c>
      <c r="G16" s="2" t="str">
        <f t="shared" si="0"/>
        <v>Thu</v>
      </c>
      <c r="H16" s="8">
        <f t="shared" si="5"/>
        <v>46037</v>
      </c>
      <c r="I16" s="6">
        <f t="shared" si="1"/>
        <v>0</v>
      </c>
      <c r="J16" s="6">
        <f t="shared" si="3"/>
        <v>5</v>
      </c>
      <c r="K16" s="9">
        <f t="shared" si="2"/>
        <v>1</v>
      </c>
      <c r="L16" s="10">
        <f t="shared" si="4"/>
        <v>1</v>
      </c>
      <c r="M16" s="10">
        <f t="shared" si="6"/>
        <v>11</v>
      </c>
      <c r="T16" s="11">
        <v>46336</v>
      </c>
      <c r="U16" s="13"/>
      <c r="V16" s="7" t="s">
        <v>16</v>
      </c>
      <c r="W16" s="7" t="s">
        <v>29</v>
      </c>
      <c r="X16" s="2">
        <v>1</v>
      </c>
    </row>
    <row r="17" spans="1:24" ht="17.25" customHeight="1" thickBot="1" x14ac:dyDescent="0.3">
      <c r="A17" s="8">
        <v>46196</v>
      </c>
      <c r="B17" s="4">
        <f t="shared" si="10"/>
        <v>122</v>
      </c>
      <c r="C17" s="16">
        <f t="shared" ca="1" si="11"/>
        <v>30.5</v>
      </c>
      <c r="D17">
        <f t="shared" si="12"/>
        <v>0</v>
      </c>
      <c r="G17" s="2" t="str">
        <f t="shared" si="0"/>
        <v>Fri</v>
      </c>
      <c r="H17" s="8">
        <f t="shared" si="5"/>
        <v>46038</v>
      </c>
      <c r="I17" s="6">
        <f t="shared" si="1"/>
        <v>0</v>
      </c>
      <c r="J17" s="6">
        <f t="shared" si="3"/>
        <v>6</v>
      </c>
      <c r="K17" s="9">
        <f t="shared" si="2"/>
        <v>1</v>
      </c>
      <c r="L17" s="10">
        <f t="shared" si="4"/>
        <v>1</v>
      </c>
      <c r="M17" s="10">
        <f t="shared" si="6"/>
        <v>12</v>
      </c>
      <c r="T17" s="11">
        <v>46350</v>
      </c>
      <c r="U17" s="14"/>
      <c r="V17" s="7" t="s">
        <v>16</v>
      </c>
      <c r="W17" s="7" t="s">
        <v>30</v>
      </c>
      <c r="X17" s="2">
        <v>1</v>
      </c>
    </row>
    <row r="18" spans="1:24" ht="17.25" customHeight="1" thickBot="1" x14ac:dyDescent="0.3">
      <c r="A18" s="8">
        <v>46198</v>
      </c>
      <c r="B18" s="4">
        <f t="shared" si="10"/>
        <v>124</v>
      </c>
      <c r="C18" s="16">
        <f t="shared" ca="1" si="11"/>
        <v>32.5</v>
      </c>
      <c r="D18">
        <f t="shared" si="12"/>
        <v>0</v>
      </c>
      <c r="G18" s="2" t="str">
        <f t="shared" si="0"/>
        <v>Sat</v>
      </c>
      <c r="H18" s="8">
        <f t="shared" si="5"/>
        <v>46039</v>
      </c>
      <c r="I18" s="6">
        <f t="shared" si="1"/>
        <v>0</v>
      </c>
      <c r="J18" s="6">
        <f t="shared" si="3"/>
        <v>7</v>
      </c>
      <c r="K18" s="9">
        <f t="shared" si="2"/>
        <v>0</v>
      </c>
      <c r="L18" s="10">
        <f t="shared" si="4"/>
        <v>0</v>
      </c>
      <c r="M18" s="10">
        <f t="shared" si="6"/>
        <v>12</v>
      </c>
      <c r="T18" s="11">
        <v>46381</v>
      </c>
      <c r="U18" s="14"/>
      <c r="V18" s="7" t="s">
        <v>20</v>
      </c>
      <c r="W18" s="7" t="s">
        <v>11</v>
      </c>
      <c r="X18" s="2">
        <v>1</v>
      </c>
    </row>
    <row r="19" spans="1:24" ht="17.25" customHeight="1" thickBot="1" x14ac:dyDescent="0.3">
      <c r="A19" s="8">
        <v>46203</v>
      </c>
      <c r="B19" s="4">
        <f t="shared" si="10"/>
        <v>126.5</v>
      </c>
      <c r="C19" s="16">
        <f t="shared" ca="1" si="11"/>
        <v>35</v>
      </c>
      <c r="D19">
        <f t="shared" si="12"/>
        <v>0</v>
      </c>
      <c r="G19" s="2" t="str">
        <f t="shared" si="0"/>
        <v>Sun</v>
      </c>
      <c r="H19" s="8">
        <f t="shared" si="5"/>
        <v>46040</v>
      </c>
      <c r="I19" s="6">
        <f t="shared" si="1"/>
        <v>0</v>
      </c>
      <c r="J19" s="6">
        <f t="shared" si="3"/>
        <v>1</v>
      </c>
      <c r="K19" s="9">
        <f t="shared" si="2"/>
        <v>0</v>
      </c>
      <c r="L19" s="10">
        <f t="shared" si="4"/>
        <v>0</v>
      </c>
      <c r="M19" s="10">
        <f t="shared" si="6"/>
        <v>12</v>
      </c>
      <c r="T19" s="11"/>
      <c r="U19" s="14"/>
      <c r="V19" s="7"/>
    </row>
    <row r="20" spans="1:24" ht="17.25" customHeight="1" x14ac:dyDescent="0.25">
      <c r="A20" s="8">
        <v>46205</v>
      </c>
      <c r="B20" s="4">
        <f t="shared" si="10"/>
        <v>128.5</v>
      </c>
      <c r="C20" s="16">
        <f t="shared" ca="1" si="11"/>
        <v>37</v>
      </c>
      <c r="D20">
        <f t="shared" si="12"/>
        <v>0</v>
      </c>
      <c r="G20" s="2" t="str">
        <f t="shared" si="0"/>
        <v>Mon</v>
      </c>
      <c r="H20" s="8">
        <f t="shared" si="5"/>
        <v>46041</v>
      </c>
      <c r="I20" s="6">
        <f t="shared" si="1"/>
        <v>0</v>
      </c>
      <c r="J20" s="6">
        <f t="shared" si="3"/>
        <v>2</v>
      </c>
      <c r="K20" s="9">
        <f t="shared" si="2"/>
        <v>1</v>
      </c>
      <c r="L20" s="10">
        <f t="shared" si="4"/>
        <v>1</v>
      </c>
      <c r="M20" s="10">
        <f t="shared" si="6"/>
        <v>13</v>
      </c>
    </row>
    <row r="21" spans="1:24" ht="17.25" customHeight="1" x14ac:dyDescent="0.25">
      <c r="A21" s="8">
        <v>46210</v>
      </c>
      <c r="B21" s="4">
        <f t="shared" si="10"/>
        <v>131.5</v>
      </c>
      <c r="C21" s="16">
        <f t="shared" ca="1" si="11"/>
        <v>40</v>
      </c>
      <c r="D21">
        <f t="shared" si="12"/>
        <v>0</v>
      </c>
      <c r="G21" s="2" t="str">
        <f t="shared" si="0"/>
        <v>Tue</v>
      </c>
      <c r="H21" s="8">
        <f t="shared" si="5"/>
        <v>46042</v>
      </c>
      <c r="I21" s="6">
        <f t="shared" si="1"/>
        <v>0</v>
      </c>
      <c r="J21" s="6">
        <f t="shared" si="3"/>
        <v>3</v>
      </c>
      <c r="K21" s="9">
        <f t="shared" si="2"/>
        <v>1</v>
      </c>
      <c r="L21" s="10">
        <f t="shared" si="4"/>
        <v>1</v>
      </c>
      <c r="M21" s="10">
        <f t="shared" si="6"/>
        <v>14</v>
      </c>
    </row>
    <row r="22" spans="1:24" ht="17.25" customHeight="1" x14ac:dyDescent="0.25">
      <c r="A22" s="8">
        <v>46212</v>
      </c>
      <c r="B22" s="4">
        <f t="shared" si="10"/>
        <v>133.5</v>
      </c>
      <c r="C22" s="16">
        <f t="shared" ca="1" si="11"/>
        <v>42</v>
      </c>
      <c r="D22">
        <f t="shared" si="12"/>
        <v>0</v>
      </c>
      <c r="G22" s="2" t="str">
        <f t="shared" si="0"/>
        <v>Wed</v>
      </c>
      <c r="H22" s="8">
        <f t="shared" si="5"/>
        <v>46043</v>
      </c>
      <c r="I22" s="6">
        <f t="shared" si="1"/>
        <v>0</v>
      </c>
      <c r="J22" s="6">
        <f t="shared" si="3"/>
        <v>4</v>
      </c>
      <c r="K22" s="9">
        <f t="shared" si="2"/>
        <v>1</v>
      </c>
      <c r="L22" s="10">
        <f t="shared" si="4"/>
        <v>1</v>
      </c>
      <c r="M22" s="10">
        <f t="shared" si="6"/>
        <v>15</v>
      </c>
    </row>
    <row r="23" spans="1:24" ht="17.25" customHeight="1" thickBot="1" x14ac:dyDescent="0.3">
      <c r="A23" s="8">
        <v>46217</v>
      </c>
      <c r="B23" s="4">
        <f t="shared" si="10"/>
        <v>136.5</v>
      </c>
      <c r="C23" s="16">
        <f t="shared" ca="1" si="11"/>
        <v>45</v>
      </c>
      <c r="D23">
        <f t="shared" si="12"/>
        <v>0</v>
      </c>
      <c r="G23" s="2" t="str">
        <f t="shared" si="0"/>
        <v>Thu</v>
      </c>
      <c r="H23" s="8">
        <f t="shared" si="5"/>
        <v>46044</v>
      </c>
      <c r="I23" s="6">
        <f t="shared" si="1"/>
        <v>0</v>
      </c>
      <c r="J23" s="6">
        <f t="shared" si="3"/>
        <v>5</v>
      </c>
      <c r="K23" s="9">
        <f t="shared" si="2"/>
        <v>1</v>
      </c>
      <c r="L23" s="10">
        <f t="shared" si="4"/>
        <v>1</v>
      </c>
      <c r="M23" s="10">
        <f t="shared" si="6"/>
        <v>16</v>
      </c>
    </row>
    <row r="24" spans="1:24" ht="17.25" customHeight="1" thickBot="1" x14ac:dyDescent="0.3">
      <c r="A24" s="8">
        <v>46219</v>
      </c>
      <c r="B24" s="4">
        <f t="shared" si="10"/>
        <v>138.5</v>
      </c>
      <c r="C24" s="16">
        <f t="shared" ca="1" si="11"/>
        <v>47</v>
      </c>
      <c r="D24">
        <f t="shared" si="12"/>
        <v>0</v>
      </c>
      <c r="G24" s="2" t="str">
        <f t="shared" si="0"/>
        <v>Fri</v>
      </c>
      <c r="H24" s="8">
        <f t="shared" si="5"/>
        <v>46045</v>
      </c>
      <c r="I24" s="6">
        <f t="shared" si="1"/>
        <v>0</v>
      </c>
      <c r="J24" s="6">
        <f t="shared" si="3"/>
        <v>6</v>
      </c>
      <c r="K24" s="9">
        <f t="shared" si="2"/>
        <v>1</v>
      </c>
      <c r="L24" s="10">
        <f t="shared" si="4"/>
        <v>1</v>
      </c>
      <c r="M24" s="10">
        <f t="shared" si="6"/>
        <v>17</v>
      </c>
      <c r="W24" s="7"/>
    </row>
    <row r="25" spans="1:24" ht="17.25" customHeight="1" x14ac:dyDescent="0.25">
      <c r="A25" s="8">
        <v>46224</v>
      </c>
      <c r="B25" s="4">
        <f t="shared" si="10"/>
        <v>141.5</v>
      </c>
      <c r="C25" s="16">
        <f t="shared" ca="1" si="11"/>
        <v>50</v>
      </c>
      <c r="D25">
        <f t="shared" si="12"/>
        <v>0</v>
      </c>
      <c r="G25" s="2" t="str">
        <f t="shared" si="0"/>
        <v>Sat</v>
      </c>
      <c r="H25" s="8">
        <f t="shared" si="5"/>
        <v>46046</v>
      </c>
      <c r="I25" s="6">
        <f t="shared" si="1"/>
        <v>0</v>
      </c>
      <c r="J25" s="6">
        <f t="shared" si="3"/>
        <v>7</v>
      </c>
      <c r="K25" s="9">
        <f t="shared" si="2"/>
        <v>0</v>
      </c>
      <c r="L25" s="10">
        <f t="shared" si="4"/>
        <v>0</v>
      </c>
      <c r="M25" s="10">
        <f t="shared" si="6"/>
        <v>17</v>
      </c>
    </row>
    <row r="26" spans="1:24" ht="17.25" customHeight="1" x14ac:dyDescent="0.25">
      <c r="A26" s="8">
        <v>46226</v>
      </c>
      <c r="B26" s="4">
        <f t="shared" si="10"/>
        <v>143.5</v>
      </c>
      <c r="C26" s="16">
        <f t="shared" ca="1" si="11"/>
        <v>52</v>
      </c>
      <c r="D26">
        <f t="shared" si="12"/>
        <v>0</v>
      </c>
      <c r="G26" s="2" t="str">
        <f t="shared" si="0"/>
        <v>Sun</v>
      </c>
      <c r="H26" s="8">
        <f t="shared" si="5"/>
        <v>46047</v>
      </c>
      <c r="I26" s="6">
        <f t="shared" si="1"/>
        <v>0</v>
      </c>
      <c r="J26" s="6">
        <f t="shared" si="3"/>
        <v>1</v>
      </c>
      <c r="K26" s="9">
        <f t="shared" si="2"/>
        <v>0</v>
      </c>
      <c r="L26" s="10">
        <f t="shared" si="4"/>
        <v>0</v>
      </c>
      <c r="M26" s="10">
        <f t="shared" si="6"/>
        <v>17</v>
      </c>
    </row>
    <row r="27" spans="1:24" ht="17.25" customHeight="1" x14ac:dyDescent="0.25">
      <c r="A27" s="8">
        <v>46231</v>
      </c>
      <c r="B27" s="4">
        <f t="shared" si="10"/>
        <v>146.5</v>
      </c>
      <c r="C27" s="16">
        <f t="shared" ca="1" si="11"/>
        <v>55</v>
      </c>
      <c r="D27">
        <f t="shared" si="12"/>
        <v>0</v>
      </c>
      <c r="G27" s="2" t="str">
        <f t="shared" si="0"/>
        <v>Mon</v>
      </c>
      <c r="H27" s="8">
        <f t="shared" si="5"/>
        <v>46048</v>
      </c>
      <c r="I27" s="6">
        <f t="shared" si="1"/>
        <v>1</v>
      </c>
      <c r="J27" s="6">
        <f t="shared" si="3"/>
        <v>2</v>
      </c>
      <c r="K27" s="9">
        <f t="shared" si="2"/>
        <v>0.5</v>
      </c>
      <c r="L27" s="10">
        <f t="shared" si="4"/>
        <v>0.5</v>
      </c>
      <c r="M27" s="10">
        <f t="shared" si="6"/>
        <v>17.5</v>
      </c>
    </row>
    <row r="28" spans="1:24" ht="17.25" customHeight="1" x14ac:dyDescent="0.25">
      <c r="A28" s="8">
        <v>46233</v>
      </c>
      <c r="B28" s="4">
        <f t="shared" si="10"/>
        <v>148.5</v>
      </c>
      <c r="C28" s="16">
        <f t="shared" ca="1" si="11"/>
        <v>57</v>
      </c>
      <c r="D28">
        <f t="shared" si="12"/>
        <v>0</v>
      </c>
      <c r="G28" s="2" t="str">
        <f t="shared" si="0"/>
        <v>Tue</v>
      </c>
      <c r="H28" s="8">
        <f t="shared" si="5"/>
        <v>46049</v>
      </c>
      <c r="I28" s="6">
        <f t="shared" si="1"/>
        <v>0</v>
      </c>
      <c r="J28" s="6">
        <f t="shared" si="3"/>
        <v>3</v>
      </c>
      <c r="K28" s="9">
        <f t="shared" si="2"/>
        <v>1</v>
      </c>
      <c r="L28" s="10">
        <f t="shared" si="4"/>
        <v>1</v>
      </c>
      <c r="M28" s="10">
        <f t="shared" si="6"/>
        <v>18.5</v>
      </c>
      <c r="W28" s="8"/>
      <c r="X28" s="3"/>
    </row>
    <row r="29" spans="1:24" ht="17.25" customHeight="1" x14ac:dyDescent="0.25">
      <c r="A29" s="8">
        <v>46238</v>
      </c>
      <c r="B29" s="4">
        <f t="shared" si="10"/>
        <v>151.5</v>
      </c>
      <c r="C29" s="16">
        <f t="shared" ca="1" si="11"/>
        <v>60</v>
      </c>
      <c r="D29">
        <f t="shared" si="12"/>
        <v>0</v>
      </c>
      <c r="G29" s="2" t="str">
        <f t="shared" si="0"/>
        <v>Wed</v>
      </c>
      <c r="H29" s="8">
        <f t="shared" si="5"/>
        <v>46050</v>
      </c>
      <c r="I29" s="6">
        <f t="shared" si="1"/>
        <v>0</v>
      </c>
      <c r="J29" s="6">
        <f t="shared" si="3"/>
        <v>4</v>
      </c>
      <c r="K29" s="9">
        <f t="shared" si="2"/>
        <v>1</v>
      </c>
      <c r="L29" s="10">
        <f t="shared" si="4"/>
        <v>1</v>
      </c>
      <c r="M29" s="10">
        <f t="shared" si="6"/>
        <v>19.5</v>
      </c>
      <c r="W29" s="8"/>
    </row>
    <row r="30" spans="1:24" ht="17.25" customHeight="1" x14ac:dyDescent="0.25">
      <c r="A30" s="8">
        <v>46240</v>
      </c>
      <c r="B30" s="4">
        <f t="shared" si="10"/>
        <v>153.5</v>
      </c>
      <c r="C30" s="16">
        <f t="shared" ca="1" si="11"/>
        <v>62</v>
      </c>
      <c r="D30">
        <f t="shared" si="12"/>
        <v>0</v>
      </c>
      <c r="G30" s="2" t="str">
        <f t="shared" si="0"/>
        <v>Thu</v>
      </c>
      <c r="H30" s="8">
        <f t="shared" si="5"/>
        <v>46051</v>
      </c>
      <c r="I30" s="6">
        <f t="shared" si="1"/>
        <v>0</v>
      </c>
      <c r="J30" s="6">
        <f t="shared" si="3"/>
        <v>5</v>
      </c>
      <c r="K30" s="9">
        <f t="shared" si="2"/>
        <v>1</v>
      </c>
      <c r="L30" s="10">
        <f t="shared" si="4"/>
        <v>1</v>
      </c>
      <c r="M30" s="10">
        <f t="shared" si="6"/>
        <v>20.5</v>
      </c>
      <c r="W30" s="8"/>
    </row>
    <row r="31" spans="1:24" ht="17.25" customHeight="1" x14ac:dyDescent="0.25">
      <c r="A31" s="8">
        <v>46245</v>
      </c>
      <c r="B31" s="4">
        <f t="shared" si="10"/>
        <v>156.5</v>
      </c>
      <c r="C31" s="16">
        <f t="shared" ca="1" si="11"/>
        <v>65</v>
      </c>
      <c r="D31">
        <f t="shared" si="12"/>
        <v>0</v>
      </c>
      <c r="G31" s="2" t="str">
        <f t="shared" si="0"/>
        <v>Fri</v>
      </c>
      <c r="H31" s="8">
        <f t="shared" si="5"/>
        <v>46052</v>
      </c>
      <c r="I31" s="6">
        <f t="shared" si="1"/>
        <v>0</v>
      </c>
      <c r="J31" s="6">
        <f t="shared" si="3"/>
        <v>6</v>
      </c>
      <c r="K31" s="9">
        <f t="shared" si="2"/>
        <v>1</v>
      </c>
      <c r="L31" s="10">
        <f t="shared" si="4"/>
        <v>1</v>
      </c>
      <c r="M31" s="10">
        <f t="shared" si="6"/>
        <v>21.5</v>
      </c>
      <c r="W31" s="8"/>
    </row>
    <row r="32" spans="1:24" ht="17.25" customHeight="1" x14ac:dyDescent="0.25">
      <c r="A32" s="8">
        <v>46247</v>
      </c>
      <c r="B32" s="4">
        <f t="shared" si="10"/>
        <v>158.5</v>
      </c>
      <c r="C32" s="16">
        <f t="shared" ca="1" si="11"/>
        <v>67</v>
      </c>
      <c r="D32">
        <f t="shared" si="12"/>
        <v>0</v>
      </c>
      <c r="G32" s="2" t="str">
        <f t="shared" si="0"/>
        <v>Sat</v>
      </c>
      <c r="H32" s="8">
        <f t="shared" si="5"/>
        <v>46053</v>
      </c>
      <c r="I32" s="6">
        <f t="shared" si="1"/>
        <v>0</v>
      </c>
      <c r="J32" s="6">
        <f t="shared" si="3"/>
        <v>7</v>
      </c>
      <c r="K32" s="9">
        <f t="shared" si="2"/>
        <v>0</v>
      </c>
      <c r="L32" s="10">
        <f t="shared" si="4"/>
        <v>0</v>
      </c>
      <c r="M32" s="10">
        <f t="shared" si="6"/>
        <v>21.5</v>
      </c>
    </row>
    <row r="33" spans="1:23" ht="17.25" customHeight="1" x14ac:dyDescent="0.25">
      <c r="A33" s="8">
        <v>46252</v>
      </c>
      <c r="B33" s="4">
        <f t="shared" si="10"/>
        <v>161.5</v>
      </c>
      <c r="C33" s="16">
        <f t="shared" ca="1" si="11"/>
        <v>70</v>
      </c>
      <c r="D33">
        <f t="shared" si="12"/>
        <v>0</v>
      </c>
      <c r="G33" s="2" t="str">
        <f t="shared" si="0"/>
        <v>Sun</v>
      </c>
      <c r="H33" s="8">
        <f t="shared" si="5"/>
        <v>46054</v>
      </c>
      <c r="I33" s="6">
        <f t="shared" si="1"/>
        <v>0</v>
      </c>
      <c r="J33" s="6">
        <f t="shared" si="3"/>
        <v>1</v>
      </c>
      <c r="K33" s="9">
        <f t="shared" si="2"/>
        <v>0</v>
      </c>
      <c r="L33" s="10">
        <f t="shared" si="4"/>
        <v>0</v>
      </c>
      <c r="M33" s="10">
        <f t="shared" si="6"/>
        <v>21.5</v>
      </c>
    </row>
    <row r="34" spans="1:23" ht="17.25" customHeight="1" x14ac:dyDescent="0.25">
      <c r="A34" s="8">
        <v>46254</v>
      </c>
      <c r="B34" s="4">
        <f t="shared" ref="B34:B72" si="13">+VLOOKUP(A34,H:M,6,FALSE)</f>
        <v>163.5</v>
      </c>
      <c r="C34" s="16">
        <f t="shared" ca="1" si="11"/>
        <v>72</v>
      </c>
      <c r="D34">
        <f t="shared" ref="D34:D72" si="14">VLOOKUP(A34,$H:$I,2,FALSE)</f>
        <v>0</v>
      </c>
      <c r="G34" s="2" t="str">
        <f t="shared" si="0"/>
        <v>Mon</v>
      </c>
      <c r="H34" s="8">
        <f t="shared" si="5"/>
        <v>46055</v>
      </c>
      <c r="I34" s="6">
        <f t="shared" si="1"/>
        <v>0</v>
      </c>
      <c r="J34" s="6">
        <f t="shared" si="3"/>
        <v>2</v>
      </c>
      <c r="K34" s="9">
        <f t="shared" si="2"/>
        <v>1</v>
      </c>
      <c r="L34" s="10">
        <f t="shared" si="4"/>
        <v>1</v>
      </c>
      <c r="M34" s="10">
        <f t="shared" si="6"/>
        <v>22.5</v>
      </c>
    </row>
    <row r="35" spans="1:23" ht="17.25" customHeight="1" x14ac:dyDescent="0.25">
      <c r="A35" s="8">
        <v>46259</v>
      </c>
      <c r="B35" s="4">
        <f t="shared" si="13"/>
        <v>166.5</v>
      </c>
      <c r="C35" s="16">
        <f t="shared" ca="1" si="11"/>
        <v>75</v>
      </c>
      <c r="D35">
        <f t="shared" si="14"/>
        <v>0</v>
      </c>
      <c r="G35" s="2" t="str">
        <f t="shared" si="0"/>
        <v>Tue</v>
      </c>
      <c r="H35" s="8">
        <f t="shared" si="5"/>
        <v>46056</v>
      </c>
      <c r="I35" s="6">
        <f t="shared" si="1"/>
        <v>0</v>
      </c>
      <c r="J35" s="6">
        <f t="shared" si="3"/>
        <v>3</v>
      </c>
      <c r="K35" s="9">
        <f t="shared" si="2"/>
        <v>1</v>
      </c>
      <c r="L35" s="10">
        <f t="shared" si="4"/>
        <v>1</v>
      </c>
      <c r="M35" s="10">
        <f t="shared" si="6"/>
        <v>23.5</v>
      </c>
    </row>
    <row r="36" spans="1:23" ht="17.25" customHeight="1" x14ac:dyDescent="0.25">
      <c r="A36" s="8">
        <v>46261</v>
      </c>
      <c r="B36" s="4">
        <f t="shared" si="13"/>
        <v>168.5</v>
      </c>
      <c r="C36" s="16">
        <f t="shared" ca="1" si="11"/>
        <v>77</v>
      </c>
      <c r="D36">
        <f t="shared" si="14"/>
        <v>0</v>
      </c>
      <c r="G36" s="2" t="str">
        <f t="shared" si="0"/>
        <v>Wed</v>
      </c>
      <c r="H36" s="8">
        <f t="shared" si="5"/>
        <v>46057</v>
      </c>
      <c r="I36" s="6">
        <f t="shared" si="1"/>
        <v>0</v>
      </c>
      <c r="J36" s="6">
        <f t="shared" si="3"/>
        <v>4</v>
      </c>
      <c r="K36" s="9">
        <f t="shared" si="2"/>
        <v>1</v>
      </c>
      <c r="L36" s="10">
        <f t="shared" si="4"/>
        <v>1</v>
      </c>
      <c r="M36" s="10">
        <f t="shared" si="6"/>
        <v>24.5</v>
      </c>
      <c r="W36" s="8"/>
    </row>
    <row r="37" spans="1:23" ht="17.25" customHeight="1" x14ac:dyDescent="0.25">
      <c r="A37" s="8">
        <v>46266</v>
      </c>
      <c r="B37" s="4">
        <f t="shared" si="13"/>
        <v>171.5</v>
      </c>
      <c r="C37" s="16">
        <f t="shared" ca="1" si="11"/>
        <v>80</v>
      </c>
      <c r="D37">
        <f t="shared" si="14"/>
        <v>0</v>
      </c>
      <c r="G37" s="2" t="str">
        <f t="shared" si="0"/>
        <v>Thu</v>
      </c>
      <c r="H37" s="8">
        <f t="shared" si="5"/>
        <v>46058</v>
      </c>
      <c r="I37" s="6">
        <f t="shared" si="1"/>
        <v>0</v>
      </c>
      <c r="J37" s="6">
        <f t="shared" si="3"/>
        <v>5</v>
      </c>
      <c r="K37" s="9">
        <f t="shared" si="2"/>
        <v>1</v>
      </c>
      <c r="L37" s="10">
        <f t="shared" si="4"/>
        <v>1</v>
      </c>
      <c r="M37" s="10">
        <f t="shared" si="6"/>
        <v>25.5</v>
      </c>
      <c r="W37" s="8"/>
    </row>
    <row r="38" spans="1:23" ht="17.25" customHeight="1" x14ac:dyDescent="0.25">
      <c r="A38" s="8">
        <v>46268</v>
      </c>
      <c r="B38" s="4">
        <f t="shared" si="13"/>
        <v>173.5</v>
      </c>
      <c r="C38" s="16">
        <f t="shared" ca="1" si="11"/>
        <v>82</v>
      </c>
      <c r="D38">
        <f t="shared" si="14"/>
        <v>0</v>
      </c>
      <c r="G38" s="2" t="str">
        <f t="shared" si="0"/>
        <v>Fri</v>
      </c>
      <c r="H38" s="8">
        <f t="shared" si="5"/>
        <v>46059</v>
      </c>
      <c r="I38" s="6">
        <f t="shared" si="1"/>
        <v>0</v>
      </c>
      <c r="J38" s="6">
        <f t="shared" si="3"/>
        <v>6</v>
      </c>
      <c r="K38" s="9">
        <f t="shared" si="2"/>
        <v>1</v>
      </c>
      <c r="L38" s="10">
        <f t="shared" si="4"/>
        <v>1</v>
      </c>
      <c r="M38" s="10">
        <f t="shared" si="6"/>
        <v>26.5</v>
      </c>
      <c r="W38" s="8"/>
    </row>
    <row r="39" spans="1:23" ht="17.25" customHeight="1" x14ac:dyDescent="0.25">
      <c r="A39" s="8">
        <v>46273</v>
      </c>
      <c r="B39" s="4">
        <f t="shared" si="13"/>
        <v>176.5</v>
      </c>
      <c r="C39" s="16">
        <f t="shared" ca="1" si="11"/>
        <v>85</v>
      </c>
      <c r="D39">
        <f t="shared" si="14"/>
        <v>0</v>
      </c>
      <c r="G39" s="2" t="str">
        <f t="shared" si="0"/>
        <v>Sat</v>
      </c>
      <c r="H39" s="8">
        <f t="shared" si="5"/>
        <v>46060</v>
      </c>
      <c r="I39" s="6">
        <f t="shared" si="1"/>
        <v>0</v>
      </c>
      <c r="J39" s="6">
        <f t="shared" si="3"/>
        <v>7</v>
      </c>
      <c r="K39" s="9">
        <f t="shared" si="2"/>
        <v>0</v>
      </c>
      <c r="L39" s="10">
        <f t="shared" si="4"/>
        <v>0</v>
      </c>
      <c r="M39" s="10">
        <f t="shared" si="6"/>
        <v>26.5</v>
      </c>
      <c r="W39" s="8"/>
    </row>
    <row r="40" spans="1:23" ht="17.25" customHeight="1" x14ac:dyDescent="0.25">
      <c r="A40" s="8">
        <v>46275</v>
      </c>
      <c r="B40" s="4">
        <f t="shared" si="13"/>
        <v>178.5</v>
      </c>
      <c r="C40" s="16">
        <f t="shared" ca="1" si="11"/>
        <v>87</v>
      </c>
      <c r="D40">
        <f t="shared" si="14"/>
        <v>0</v>
      </c>
      <c r="G40" s="2" t="str">
        <f t="shared" si="0"/>
        <v>Sun</v>
      </c>
      <c r="H40" s="8">
        <f t="shared" si="5"/>
        <v>46061</v>
      </c>
      <c r="I40" s="6">
        <f t="shared" si="1"/>
        <v>0</v>
      </c>
      <c r="J40" s="6">
        <f t="shared" si="3"/>
        <v>1</v>
      </c>
      <c r="K40" s="9">
        <f t="shared" si="2"/>
        <v>0</v>
      </c>
      <c r="L40" s="10">
        <f t="shared" si="4"/>
        <v>0</v>
      </c>
      <c r="M40" s="10">
        <f t="shared" si="6"/>
        <v>26.5</v>
      </c>
      <c r="W40" s="8"/>
    </row>
    <row r="41" spans="1:23" ht="17.25" customHeight="1" x14ac:dyDescent="0.25">
      <c r="A41" s="8">
        <v>46280</v>
      </c>
      <c r="B41" s="4">
        <f t="shared" si="13"/>
        <v>181</v>
      </c>
      <c r="C41" s="16">
        <f t="shared" ca="1" si="11"/>
        <v>89.5</v>
      </c>
      <c r="D41">
        <f t="shared" si="14"/>
        <v>0</v>
      </c>
      <c r="G41" s="2" t="str">
        <f t="shared" si="0"/>
        <v>Mon</v>
      </c>
      <c r="H41" s="8">
        <f t="shared" si="5"/>
        <v>46062</v>
      </c>
      <c r="I41" s="6">
        <f t="shared" si="1"/>
        <v>0</v>
      </c>
      <c r="J41" s="6">
        <f t="shared" si="3"/>
        <v>2</v>
      </c>
      <c r="K41" s="9">
        <f t="shared" si="2"/>
        <v>1</v>
      </c>
      <c r="L41" s="10">
        <f t="shared" si="4"/>
        <v>1</v>
      </c>
      <c r="M41" s="10">
        <f t="shared" si="6"/>
        <v>27.5</v>
      </c>
      <c r="W41" s="8"/>
    </row>
    <row r="42" spans="1:23" ht="17.25" customHeight="1" x14ac:dyDescent="0.25">
      <c r="A42" s="8">
        <v>46282</v>
      </c>
      <c r="B42" s="4">
        <f t="shared" si="13"/>
        <v>183</v>
      </c>
      <c r="C42" s="16">
        <f t="shared" ca="1" si="11"/>
        <v>91.5</v>
      </c>
      <c r="D42">
        <f t="shared" si="14"/>
        <v>0</v>
      </c>
      <c r="G42" s="2" t="str">
        <f t="shared" si="0"/>
        <v>Tue</v>
      </c>
      <c r="H42" s="8">
        <f t="shared" si="5"/>
        <v>46063</v>
      </c>
      <c r="I42" s="6">
        <f t="shared" si="1"/>
        <v>0</v>
      </c>
      <c r="J42" s="6">
        <f t="shared" si="3"/>
        <v>3</v>
      </c>
      <c r="K42" s="9">
        <f t="shared" si="2"/>
        <v>1</v>
      </c>
      <c r="L42" s="10">
        <f t="shared" si="4"/>
        <v>1</v>
      </c>
      <c r="M42" s="10">
        <f t="shared" si="6"/>
        <v>28.5</v>
      </c>
      <c r="W42" s="8"/>
    </row>
    <row r="43" spans="1:23" ht="17.25" customHeight="1" x14ac:dyDescent="0.25">
      <c r="A43" s="8">
        <v>46287</v>
      </c>
      <c r="B43" s="4">
        <f t="shared" si="13"/>
        <v>186</v>
      </c>
      <c r="C43" s="16">
        <f t="shared" ca="1" si="11"/>
        <v>94.5</v>
      </c>
      <c r="D43">
        <f t="shared" si="14"/>
        <v>0</v>
      </c>
      <c r="G43" s="2" t="str">
        <f t="shared" si="0"/>
        <v>Wed</v>
      </c>
      <c r="H43" s="8">
        <f t="shared" si="5"/>
        <v>46064</v>
      </c>
      <c r="I43" s="6">
        <f t="shared" si="1"/>
        <v>0</v>
      </c>
      <c r="J43" s="6">
        <f t="shared" si="3"/>
        <v>4</v>
      </c>
      <c r="K43" s="9">
        <f t="shared" si="2"/>
        <v>1</v>
      </c>
      <c r="L43" s="10">
        <f t="shared" si="4"/>
        <v>1</v>
      </c>
      <c r="M43" s="10">
        <f t="shared" si="6"/>
        <v>29.5</v>
      </c>
      <c r="W43" s="8"/>
    </row>
    <row r="44" spans="1:23" ht="17.25" customHeight="1" x14ac:dyDescent="0.25">
      <c r="A44" s="8">
        <v>46289</v>
      </c>
      <c r="B44" s="4">
        <f t="shared" si="13"/>
        <v>188</v>
      </c>
      <c r="C44" s="16">
        <f t="shared" ca="1" si="11"/>
        <v>96.5</v>
      </c>
      <c r="D44">
        <f t="shared" si="14"/>
        <v>0</v>
      </c>
      <c r="G44" s="2" t="str">
        <f t="shared" si="0"/>
        <v>Thu</v>
      </c>
      <c r="H44" s="8">
        <f t="shared" si="5"/>
        <v>46065</v>
      </c>
      <c r="I44" s="6">
        <f t="shared" si="1"/>
        <v>0</v>
      </c>
      <c r="J44" s="6">
        <f t="shared" si="3"/>
        <v>5</v>
      </c>
      <c r="K44" s="9">
        <f t="shared" si="2"/>
        <v>1</v>
      </c>
      <c r="L44" s="10">
        <f t="shared" si="4"/>
        <v>1</v>
      </c>
      <c r="M44" s="10">
        <f t="shared" si="6"/>
        <v>30.5</v>
      </c>
      <c r="W44" s="8"/>
    </row>
    <row r="45" spans="1:23" ht="17.25" customHeight="1" x14ac:dyDescent="0.25">
      <c r="A45" s="8">
        <v>46294</v>
      </c>
      <c r="B45" s="4">
        <f t="shared" si="13"/>
        <v>191</v>
      </c>
      <c r="C45" s="16">
        <f t="shared" ca="1" si="11"/>
        <v>99.5</v>
      </c>
      <c r="D45">
        <f t="shared" si="14"/>
        <v>0</v>
      </c>
      <c r="G45" s="2" t="str">
        <f t="shared" si="0"/>
        <v>Fri</v>
      </c>
      <c r="H45" s="8">
        <f t="shared" si="5"/>
        <v>46066</v>
      </c>
      <c r="I45" s="6">
        <f t="shared" si="1"/>
        <v>0</v>
      </c>
      <c r="J45" s="6">
        <f t="shared" si="3"/>
        <v>6</v>
      </c>
      <c r="K45" s="9">
        <f t="shared" si="2"/>
        <v>1</v>
      </c>
      <c r="L45" s="10">
        <f t="shared" si="4"/>
        <v>1</v>
      </c>
      <c r="M45" s="10">
        <f t="shared" si="6"/>
        <v>31.5</v>
      </c>
      <c r="W45" s="8"/>
    </row>
    <row r="46" spans="1:23" ht="17.25" customHeight="1" x14ac:dyDescent="0.25">
      <c r="A46" s="8">
        <v>46296</v>
      </c>
      <c r="B46" s="4">
        <f t="shared" si="13"/>
        <v>193</v>
      </c>
      <c r="C46" s="16">
        <f t="shared" ca="1" si="11"/>
        <v>101.5</v>
      </c>
      <c r="D46">
        <f t="shared" si="14"/>
        <v>0</v>
      </c>
      <c r="G46" s="2" t="str">
        <f t="shared" si="0"/>
        <v>Sat</v>
      </c>
      <c r="H46" s="8">
        <f t="shared" si="5"/>
        <v>46067</v>
      </c>
      <c r="I46" s="6">
        <f t="shared" si="1"/>
        <v>0</v>
      </c>
      <c r="J46" s="6">
        <f t="shared" si="3"/>
        <v>7</v>
      </c>
      <c r="K46" s="9">
        <f t="shared" si="2"/>
        <v>0</v>
      </c>
      <c r="L46" s="10">
        <f t="shared" si="4"/>
        <v>0</v>
      </c>
      <c r="M46" s="10">
        <f t="shared" si="6"/>
        <v>31.5</v>
      </c>
      <c r="W46" s="8"/>
    </row>
    <row r="47" spans="1:23" ht="17.25" customHeight="1" x14ac:dyDescent="0.25">
      <c r="A47" s="8">
        <v>46301</v>
      </c>
      <c r="B47" s="4">
        <f t="shared" si="13"/>
        <v>195.5</v>
      </c>
      <c r="C47" s="16">
        <f t="shared" ca="1" si="11"/>
        <v>104</v>
      </c>
      <c r="D47">
        <f t="shared" si="14"/>
        <v>0</v>
      </c>
      <c r="G47" s="2" t="str">
        <f t="shared" si="0"/>
        <v>Sun</v>
      </c>
      <c r="H47" s="8">
        <f t="shared" si="5"/>
        <v>46068</v>
      </c>
      <c r="I47" s="6">
        <f t="shared" si="1"/>
        <v>0</v>
      </c>
      <c r="J47" s="6">
        <f t="shared" si="3"/>
        <v>1</v>
      </c>
      <c r="K47" s="9">
        <f t="shared" si="2"/>
        <v>0</v>
      </c>
      <c r="L47" s="10">
        <f t="shared" si="4"/>
        <v>0</v>
      </c>
      <c r="M47" s="10">
        <f t="shared" si="6"/>
        <v>31.5</v>
      </c>
      <c r="W47" s="8"/>
    </row>
    <row r="48" spans="1:23" ht="17.25" customHeight="1" x14ac:dyDescent="0.25">
      <c r="A48" s="8">
        <v>46303</v>
      </c>
      <c r="B48" s="4">
        <f t="shared" si="13"/>
        <v>197.5</v>
      </c>
      <c r="C48" s="16">
        <f t="shared" ca="1" si="11"/>
        <v>106</v>
      </c>
      <c r="D48">
        <f t="shared" si="14"/>
        <v>0</v>
      </c>
      <c r="G48" s="2" t="str">
        <f t="shared" si="0"/>
        <v>Mon</v>
      </c>
      <c r="H48" s="8">
        <f t="shared" si="5"/>
        <v>46069</v>
      </c>
      <c r="I48" s="6">
        <f t="shared" si="1"/>
        <v>0</v>
      </c>
      <c r="J48" s="6">
        <f t="shared" si="3"/>
        <v>2</v>
      </c>
      <c r="K48" s="9">
        <f t="shared" si="2"/>
        <v>1</v>
      </c>
      <c r="L48" s="10">
        <f t="shared" si="4"/>
        <v>1</v>
      </c>
      <c r="M48" s="10">
        <f t="shared" si="6"/>
        <v>32.5</v>
      </c>
    </row>
    <row r="49" spans="1:13" ht="17.25" customHeight="1" x14ac:dyDescent="0.25">
      <c r="A49" s="8">
        <v>46308</v>
      </c>
      <c r="B49" s="4">
        <f t="shared" si="13"/>
        <v>200.5</v>
      </c>
      <c r="C49" s="16">
        <f t="shared" ca="1" si="11"/>
        <v>109</v>
      </c>
      <c r="D49">
        <f t="shared" si="14"/>
        <v>0</v>
      </c>
      <c r="G49" s="2" t="str">
        <f t="shared" si="0"/>
        <v>Tue</v>
      </c>
      <c r="H49" s="8">
        <f t="shared" si="5"/>
        <v>46070</v>
      </c>
      <c r="I49" s="6">
        <f t="shared" si="1"/>
        <v>0</v>
      </c>
      <c r="J49" s="6">
        <f t="shared" si="3"/>
        <v>3</v>
      </c>
      <c r="K49" s="9">
        <f t="shared" si="2"/>
        <v>1</v>
      </c>
      <c r="L49" s="10">
        <f t="shared" si="4"/>
        <v>1</v>
      </c>
      <c r="M49" s="10">
        <f t="shared" si="6"/>
        <v>33.5</v>
      </c>
    </row>
    <row r="50" spans="1:13" ht="17.25" customHeight="1" x14ac:dyDescent="0.25">
      <c r="A50" s="8">
        <v>46310</v>
      </c>
      <c r="B50" s="4">
        <f t="shared" si="13"/>
        <v>202.5</v>
      </c>
      <c r="C50" s="16">
        <f t="shared" ca="1" si="11"/>
        <v>111</v>
      </c>
      <c r="D50">
        <f t="shared" si="14"/>
        <v>0</v>
      </c>
      <c r="G50" s="2" t="str">
        <f t="shared" si="0"/>
        <v>Wed</v>
      </c>
      <c r="H50" s="8">
        <f t="shared" si="5"/>
        <v>46071</v>
      </c>
      <c r="I50" s="6">
        <f t="shared" si="1"/>
        <v>0</v>
      </c>
      <c r="J50" s="6">
        <f t="shared" si="3"/>
        <v>4</v>
      </c>
      <c r="K50" s="9">
        <f t="shared" si="2"/>
        <v>1</v>
      </c>
      <c r="L50" s="10">
        <f t="shared" si="4"/>
        <v>1</v>
      </c>
      <c r="M50" s="10">
        <f t="shared" si="6"/>
        <v>34.5</v>
      </c>
    </row>
    <row r="51" spans="1:13" ht="17.25" customHeight="1" x14ac:dyDescent="0.25">
      <c r="A51" s="8">
        <v>46314</v>
      </c>
      <c r="B51" s="4">
        <f t="shared" si="13"/>
        <v>204.5</v>
      </c>
      <c r="C51" s="16">
        <f t="shared" ca="1" si="11"/>
        <v>113</v>
      </c>
      <c r="D51">
        <f t="shared" si="14"/>
        <v>0</v>
      </c>
      <c r="G51" s="2" t="str">
        <f t="shared" si="0"/>
        <v>Thu</v>
      </c>
      <c r="H51" s="8">
        <f t="shared" si="5"/>
        <v>46072</v>
      </c>
      <c r="I51" s="6">
        <f t="shared" si="1"/>
        <v>0</v>
      </c>
      <c r="J51" s="6">
        <f t="shared" si="3"/>
        <v>5</v>
      </c>
      <c r="K51" s="9">
        <f t="shared" si="2"/>
        <v>1</v>
      </c>
      <c r="L51" s="10">
        <f t="shared" si="4"/>
        <v>1</v>
      </c>
      <c r="M51" s="10">
        <f t="shared" si="6"/>
        <v>35.5</v>
      </c>
    </row>
    <row r="52" spans="1:13" ht="17.25" customHeight="1" x14ac:dyDescent="0.25">
      <c r="A52" s="8">
        <v>46317</v>
      </c>
      <c r="B52" s="4">
        <f t="shared" si="13"/>
        <v>207</v>
      </c>
      <c r="C52" s="16">
        <f t="shared" ca="1" si="11"/>
        <v>115.5</v>
      </c>
      <c r="D52">
        <f t="shared" si="14"/>
        <v>0</v>
      </c>
      <c r="G52" s="2" t="str">
        <f t="shared" si="0"/>
        <v>Fri</v>
      </c>
      <c r="H52" s="8">
        <f t="shared" si="5"/>
        <v>46073</v>
      </c>
      <c r="I52" s="6">
        <f t="shared" si="1"/>
        <v>0</v>
      </c>
      <c r="J52" s="6">
        <f t="shared" si="3"/>
        <v>6</v>
      </c>
      <c r="K52" s="9">
        <f t="shared" si="2"/>
        <v>1</v>
      </c>
      <c r="L52" s="10">
        <f t="shared" si="4"/>
        <v>1</v>
      </c>
      <c r="M52" s="10">
        <f t="shared" si="6"/>
        <v>36.5</v>
      </c>
    </row>
    <row r="53" spans="1:13" ht="17.25" customHeight="1" x14ac:dyDescent="0.25">
      <c r="A53" s="8">
        <v>46322</v>
      </c>
      <c r="B53" s="4">
        <f t="shared" si="13"/>
        <v>210</v>
      </c>
      <c r="C53" s="16">
        <f t="shared" ca="1" si="11"/>
        <v>118.5</v>
      </c>
      <c r="D53">
        <f t="shared" si="14"/>
        <v>0</v>
      </c>
      <c r="G53" s="2" t="str">
        <f t="shared" si="0"/>
        <v>Sat</v>
      </c>
      <c r="H53" s="8">
        <f t="shared" si="5"/>
        <v>46074</v>
      </c>
      <c r="I53" s="6">
        <f t="shared" si="1"/>
        <v>0</v>
      </c>
      <c r="J53" s="6">
        <f t="shared" si="3"/>
        <v>7</v>
      </c>
      <c r="K53" s="9">
        <f t="shared" si="2"/>
        <v>0</v>
      </c>
      <c r="L53" s="10">
        <f t="shared" si="4"/>
        <v>0</v>
      </c>
      <c r="M53" s="10">
        <f t="shared" si="6"/>
        <v>36.5</v>
      </c>
    </row>
    <row r="54" spans="1:13" ht="17.25" customHeight="1" x14ac:dyDescent="0.25">
      <c r="A54" s="8">
        <v>46324</v>
      </c>
      <c r="B54" s="4">
        <f t="shared" si="13"/>
        <v>212</v>
      </c>
      <c r="C54" s="16">
        <f t="shared" ca="1" si="11"/>
        <v>120.5</v>
      </c>
      <c r="D54">
        <f t="shared" si="14"/>
        <v>0</v>
      </c>
      <c r="G54" s="2" t="str">
        <f t="shared" si="0"/>
        <v>Sun</v>
      </c>
      <c r="H54" s="8">
        <f t="shared" si="5"/>
        <v>46075</v>
      </c>
      <c r="I54" s="6">
        <f t="shared" si="1"/>
        <v>0</v>
      </c>
      <c r="J54" s="6">
        <f t="shared" si="3"/>
        <v>1</v>
      </c>
      <c r="K54" s="9">
        <f t="shared" si="2"/>
        <v>0</v>
      </c>
      <c r="L54" s="10">
        <f t="shared" si="4"/>
        <v>0</v>
      </c>
      <c r="M54" s="10">
        <f t="shared" si="6"/>
        <v>36.5</v>
      </c>
    </row>
    <row r="55" spans="1:13" ht="17.25" customHeight="1" x14ac:dyDescent="0.25">
      <c r="A55" s="8">
        <v>46329</v>
      </c>
      <c r="B55" s="4">
        <f t="shared" si="13"/>
        <v>215</v>
      </c>
      <c r="C55" s="16">
        <f t="shared" ca="1" si="11"/>
        <v>123.5</v>
      </c>
      <c r="D55">
        <f t="shared" si="14"/>
        <v>0</v>
      </c>
      <c r="G55" s="2" t="str">
        <f t="shared" si="0"/>
        <v>Mon</v>
      </c>
      <c r="H55" s="8">
        <f t="shared" si="5"/>
        <v>46076</v>
      </c>
      <c r="I55" s="6">
        <f t="shared" si="1"/>
        <v>0</v>
      </c>
      <c r="J55" s="6">
        <f t="shared" si="3"/>
        <v>2</v>
      </c>
      <c r="K55" s="9">
        <f t="shared" si="2"/>
        <v>1</v>
      </c>
      <c r="L55" s="10">
        <f t="shared" si="4"/>
        <v>1</v>
      </c>
      <c r="M55" s="10">
        <f t="shared" si="6"/>
        <v>37.5</v>
      </c>
    </row>
    <row r="56" spans="1:13" ht="17.25" customHeight="1" x14ac:dyDescent="0.25">
      <c r="A56" s="8">
        <v>46331</v>
      </c>
      <c r="B56" s="4">
        <f t="shared" si="13"/>
        <v>217</v>
      </c>
      <c r="C56" s="16">
        <f t="shared" ca="1" si="11"/>
        <v>125.5</v>
      </c>
      <c r="D56">
        <f t="shared" si="14"/>
        <v>0</v>
      </c>
      <c r="G56" s="2" t="str">
        <f t="shared" si="0"/>
        <v>Tue</v>
      </c>
      <c r="H56" s="8">
        <f t="shared" si="5"/>
        <v>46077</v>
      </c>
      <c r="I56" s="6">
        <f t="shared" si="1"/>
        <v>0</v>
      </c>
      <c r="J56" s="6">
        <f t="shared" si="3"/>
        <v>3</v>
      </c>
      <c r="K56" s="9">
        <f t="shared" si="2"/>
        <v>1</v>
      </c>
      <c r="L56" s="10">
        <f t="shared" si="4"/>
        <v>1</v>
      </c>
      <c r="M56" s="10">
        <f t="shared" si="6"/>
        <v>38.5</v>
      </c>
    </row>
    <row r="57" spans="1:13" ht="17.25" customHeight="1" x14ac:dyDescent="0.25">
      <c r="A57" s="8">
        <v>46335</v>
      </c>
      <c r="B57" s="4">
        <f t="shared" si="13"/>
        <v>219</v>
      </c>
      <c r="C57" s="16">
        <f t="shared" ca="1" si="11"/>
        <v>127.5</v>
      </c>
      <c r="D57">
        <f t="shared" si="14"/>
        <v>0</v>
      </c>
      <c r="G57" s="2" t="str">
        <f t="shared" si="0"/>
        <v>Wed</v>
      </c>
      <c r="H57" s="8">
        <f t="shared" si="5"/>
        <v>46078</v>
      </c>
      <c r="I57" s="6">
        <f t="shared" si="1"/>
        <v>0</v>
      </c>
      <c r="J57" s="6">
        <f t="shared" si="3"/>
        <v>4</v>
      </c>
      <c r="K57" s="9">
        <f t="shared" si="2"/>
        <v>1</v>
      </c>
      <c r="L57" s="10">
        <f t="shared" si="4"/>
        <v>1</v>
      </c>
      <c r="M57" s="10">
        <f t="shared" si="6"/>
        <v>39.5</v>
      </c>
    </row>
    <row r="58" spans="1:13" ht="17.25" customHeight="1" x14ac:dyDescent="0.25">
      <c r="A58" s="8">
        <v>46338</v>
      </c>
      <c r="B58" s="4">
        <f t="shared" si="13"/>
        <v>221.5</v>
      </c>
      <c r="C58" s="16">
        <f t="shared" ca="1" si="11"/>
        <v>130</v>
      </c>
      <c r="D58">
        <f t="shared" si="14"/>
        <v>0</v>
      </c>
      <c r="G58" s="2" t="str">
        <f t="shared" si="0"/>
        <v>Thu</v>
      </c>
      <c r="H58" s="8">
        <f t="shared" si="5"/>
        <v>46079</v>
      </c>
      <c r="I58" s="6">
        <f t="shared" si="1"/>
        <v>0</v>
      </c>
      <c r="J58" s="6">
        <f t="shared" si="3"/>
        <v>5</v>
      </c>
      <c r="K58" s="9">
        <f t="shared" si="2"/>
        <v>1</v>
      </c>
      <c r="L58" s="10">
        <f t="shared" si="4"/>
        <v>1</v>
      </c>
      <c r="M58" s="10">
        <f t="shared" si="6"/>
        <v>40.5</v>
      </c>
    </row>
    <row r="59" spans="1:13" ht="17.25" customHeight="1" x14ac:dyDescent="0.25">
      <c r="A59" s="8">
        <v>46343</v>
      </c>
      <c r="B59" s="4">
        <f t="shared" si="13"/>
        <v>224.5</v>
      </c>
      <c r="C59" s="16">
        <f t="shared" ca="1" si="11"/>
        <v>133</v>
      </c>
      <c r="D59">
        <f t="shared" si="14"/>
        <v>0</v>
      </c>
      <c r="G59" s="2" t="str">
        <f t="shared" si="0"/>
        <v>Fri</v>
      </c>
      <c r="H59" s="8">
        <f t="shared" si="5"/>
        <v>46080</v>
      </c>
      <c r="I59" s="6">
        <f t="shared" si="1"/>
        <v>0</v>
      </c>
      <c r="J59" s="6">
        <f t="shared" si="3"/>
        <v>6</v>
      </c>
      <c r="K59" s="9">
        <f t="shared" si="2"/>
        <v>1</v>
      </c>
      <c r="L59" s="10">
        <f t="shared" si="4"/>
        <v>1</v>
      </c>
      <c r="M59" s="10">
        <f t="shared" si="6"/>
        <v>41.5</v>
      </c>
    </row>
    <row r="60" spans="1:13" ht="17.25" customHeight="1" x14ac:dyDescent="0.25">
      <c r="A60" s="8">
        <v>46345</v>
      </c>
      <c r="B60" s="4">
        <f t="shared" si="13"/>
        <v>226.5</v>
      </c>
      <c r="C60" s="16">
        <f t="shared" ca="1" si="11"/>
        <v>135</v>
      </c>
      <c r="D60">
        <f t="shared" si="14"/>
        <v>0</v>
      </c>
      <c r="G60" s="2" t="str">
        <f t="shared" si="0"/>
        <v>Sat</v>
      </c>
      <c r="H60" s="8">
        <f t="shared" si="5"/>
        <v>46081</v>
      </c>
      <c r="I60" s="6">
        <f t="shared" si="1"/>
        <v>0</v>
      </c>
      <c r="J60" s="6">
        <f t="shared" si="3"/>
        <v>7</v>
      </c>
      <c r="K60" s="9">
        <f t="shared" si="2"/>
        <v>0</v>
      </c>
      <c r="L60" s="10">
        <f t="shared" si="4"/>
        <v>0</v>
      </c>
      <c r="M60" s="10">
        <f t="shared" si="6"/>
        <v>41.5</v>
      </c>
    </row>
    <row r="61" spans="1:13" ht="17.25" customHeight="1" x14ac:dyDescent="0.25">
      <c r="A61" s="8">
        <v>46349</v>
      </c>
      <c r="B61" s="4">
        <f t="shared" si="13"/>
        <v>228.5</v>
      </c>
      <c r="C61" s="16">
        <f t="shared" ca="1" si="11"/>
        <v>137</v>
      </c>
      <c r="D61">
        <f t="shared" si="14"/>
        <v>0</v>
      </c>
      <c r="G61" s="2" t="str">
        <f t="shared" si="0"/>
        <v>Sun</v>
      </c>
      <c r="H61" s="8">
        <f t="shared" si="5"/>
        <v>46082</v>
      </c>
      <c r="I61" s="6">
        <f t="shared" si="1"/>
        <v>0</v>
      </c>
      <c r="J61" s="6">
        <f t="shared" si="3"/>
        <v>1</v>
      </c>
      <c r="K61" s="9">
        <f t="shared" si="2"/>
        <v>0</v>
      </c>
      <c r="L61" s="10">
        <f t="shared" si="4"/>
        <v>0</v>
      </c>
      <c r="M61" s="10">
        <f t="shared" si="6"/>
        <v>41.5</v>
      </c>
    </row>
    <row r="62" spans="1:13" ht="17.25" customHeight="1" x14ac:dyDescent="0.25">
      <c r="A62" s="8">
        <v>46352</v>
      </c>
      <c r="B62" s="4">
        <f t="shared" si="13"/>
        <v>231</v>
      </c>
      <c r="C62" s="16">
        <f t="shared" ca="1" si="11"/>
        <v>139.5</v>
      </c>
      <c r="D62">
        <f t="shared" si="14"/>
        <v>0</v>
      </c>
      <c r="G62" s="2" t="str">
        <f t="shared" si="0"/>
        <v>Mon</v>
      </c>
      <c r="H62" s="8">
        <f t="shared" si="5"/>
        <v>46083</v>
      </c>
      <c r="I62" s="6">
        <f t="shared" si="1"/>
        <v>0</v>
      </c>
      <c r="J62" s="6">
        <f t="shared" si="3"/>
        <v>2</v>
      </c>
      <c r="K62" s="9">
        <f t="shared" si="2"/>
        <v>1</v>
      </c>
      <c r="L62" s="10">
        <f t="shared" si="4"/>
        <v>1</v>
      </c>
      <c r="M62" s="10">
        <f t="shared" si="6"/>
        <v>42.5</v>
      </c>
    </row>
    <row r="63" spans="1:13" ht="17.25" customHeight="1" x14ac:dyDescent="0.25">
      <c r="A63" s="8">
        <v>46357</v>
      </c>
      <c r="B63" s="4">
        <f t="shared" si="13"/>
        <v>234</v>
      </c>
      <c r="C63" s="16">
        <f t="shared" ca="1" si="11"/>
        <v>142.5</v>
      </c>
      <c r="D63">
        <f t="shared" si="14"/>
        <v>0</v>
      </c>
      <c r="G63" s="2" t="str">
        <f t="shared" si="0"/>
        <v>Tue</v>
      </c>
      <c r="H63" s="8">
        <f t="shared" si="5"/>
        <v>46084</v>
      </c>
      <c r="I63" s="6">
        <f t="shared" si="1"/>
        <v>1</v>
      </c>
      <c r="J63" s="6">
        <f t="shared" si="3"/>
        <v>3</v>
      </c>
      <c r="K63" s="9">
        <f t="shared" si="2"/>
        <v>0.5</v>
      </c>
      <c r="L63" s="10">
        <f t="shared" si="4"/>
        <v>0.5</v>
      </c>
      <c r="M63" s="10">
        <f t="shared" si="6"/>
        <v>43</v>
      </c>
    </row>
    <row r="64" spans="1:13" ht="17.25" customHeight="1" x14ac:dyDescent="0.25">
      <c r="A64" s="8">
        <v>46359</v>
      </c>
      <c r="B64" s="4">
        <f t="shared" si="13"/>
        <v>236</v>
      </c>
      <c r="C64" s="16">
        <f t="shared" ca="1" si="11"/>
        <v>144.5</v>
      </c>
      <c r="D64">
        <f t="shared" si="14"/>
        <v>0</v>
      </c>
      <c r="G64" s="2" t="str">
        <f t="shared" si="0"/>
        <v>Wed</v>
      </c>
      <c r="H64" s="8">
        <f t="shared" si="5"/>
        <v>46085</v>
      </c>
      <c r="I64" s="6">
        <f t="shared" si="1"/>
        <v>0</v>
      </c>
      <c r="J64" s="6">
        <f t="shared" si="3"/>
        <v>4</v>
      </c>
      <c r="K64" s="9">
        <f t="shared" si="2"/>
        <v>1</v>
      </c>
      <c r="L64" s="10">
        <f t="shared" si="4"/>
        <v>1</v>
      </c>
      <c r="M64" s="10">
        <f t="shared" si="6"/>
        <v>44</v>
      </c>
    </row>
    <row r="65" spans="1:13" ht="17.25" customHeight="1" x14ac:dyDescent="0.25">
      <c r="A65" s="8">
        <v>46364</v>
      </c>
      <c r="B65" s="4">
        <f t="shared" si="13"/>
        <v>239</v>
      </c>
      <c r="C65" s="16">
        <f t="shared" ca="1" si="11"/>
        <v>147.5</v>
      </c>
      <c r="D65">
        <f t="shared" si="14"/>
        <v>0</v>
      </c>
      <c r="G65" s="2" t="str">
        <f t="shared" si="0"/>
        <v>Thu</v>
      </c>
      <c r="H65" s="8">
        <f t="shared" si="5"/>
        <v>46086</v>
      </c>
      <c r="I65" s="6">
        <f t="shared" si="1"/>
        <v>0</v>
      </c>
      <c r="J65" s="6">
        <f t="shared" si="3"/>
        <v>5</v>
      </c>
      <c r="K65" s="9">
        <f t="shared" si="2"/>
        <v>1</v>
      </c>
      <c r="L65" s="10">
        <f t="shared" si="4"/>
        <v>1</v>
      </c>
      <c r="M65" s="10">
        <f t="shared" si="6"/>
        <v>45</v>
      </c>
    </row>
    <row r="66" spans="1:13" ht="17.25" customHeight="1" x14ac:dyDescent="0.25">
      <c r="A66" s="8">
        <v>46366</v>
      </c>
      <c r="B66" s="4">
        <f t="shared" si="13"/>
        <v>241</v>
      </c>
      <c r="C66" s="16">
        <f t="shared" ca="1" si="11"/>
        <v>149.5</v>
      </c>
      <c r="D66">
        <f t="shared" si="14"/>
        <v>0</v>
      </c>
      <c r="G66" s="2" t="str">
        <f t="shared" ref="G66:G129" si="15">TEXT(H66,"ddd")</f>
        <v>Fri</v>
      </c>
      <c r="H66" s="8">
        <f t="shared" si="5"/>
        <v>46087</v>
      </c>
      <c r="I66" s="6">
        <f t="shared" ref="I66:I129" si="16">IF(ISNUMBER(VLOOKUP(H66,$T$3:$X$18,5,FALSE)),1,0)</f>
        <v>0</v>
      </c>
      <c r="J66" s="6">
        <f t="shared" si="3"/>
        <v>6</v>
      </c>
      <c r="K66" s="9">
        <f t="shared" ref="K66:K129" si="17">IF(I66=1,$B$2,IF(AND(J66&lt;7,J66&gt;1),1,0))</f>
        <v>1</v>
      </c>
      <c r="L66" s="10">
        <f t="shared" si="4"/>
        <v>1</v>
      </c>
      <c r="M66" s="10">
        <f t="shared" si="6"/>
        <v>46</v>
      </c>
    </row>
    <row r="67" spans="1:13" ht="17.25" customHeight="1" x14ac:dyDescent="0.25">
      <c r="A67" s="8">
        <v>46371</v>
      </c>
      <c r="B67" s="4">
        <f t="shared" si="13"/>
        <v>244</v>
      </c>
      <c r="C67" s="16">
        <f t="shared" ca="1" si="11"/>
        <v>152.5</v>
      </c>
      <c r="D67">
        <f t="shared" si="14"/>
        <v>0</v>
      </c>
      <c r="G67" s="2" t="str">
        <f t="shared" si="15"/>
        <v>Sat</v>
      </c>
      <c r="H67" s="8">
        <f t="shared" si="5"/>
        <v>46088</v>
      </c>
      <c r="I67" s="6">
        <f t="shared" si="16"/>
        <v>0</v>
      </c>
      <c r="J67" s="6">
        <f t="shared" ref="J67:J130" si="18">WEEKDAY(H67)</f>
        <v>7</v>
      </c>
      <c r="K67" s="9">
        <f t="shared" si="17"/>
        <v>0</v>
      </c>
      <c r="L67" s="10">
        <f t="shared" ref="L67:L130" si="19">+K67</f>
        <v>0</v>
      </c>
      <c r="M67" s="10">
        <f t="shared" si="6"/>
        <v>46</v>
      </c>
    </row>
    <row r="68" spans="1:13" ht="17.25" customHeight="1" x14ac:dyDescent="0.25">
      <c r="A68" s="8">
        <v>46373</v>
      </c>
      <c r="B68" s="4">
        <f t="shared" si="13"/>
        <v>246</v>
      </c>
      <c r="C68" s="16">
        <f t="shared" ca="1" si="11"/>
        <v>154.5</v>
      </c>
      <c r="D68">
        <f t="shared" si="14"/>
        <v>0</v>
      </c>
      <c r="G68" s="2" t="str">
        <f t="shared" si="15"/>
        <v>Sun</v>
      </c>
      <c r="H68" s="8">
        <f t="shared" ref="H68:H131" si="20">+H67+1</f>
        <v>46089</v>
      </c>
      <c r="I68" s="6">
        <f t="shared" si="16"/>
        <v>0</v>
      </c>
      <c r="J68" s="6">
        <f t="shared" si="18"/>
        <v>1</v>
      </c>
      <c r="K68" s="9">
        <f t="shared" si="17"/>
        <v>0</v>
      </c>
      <c r="L68" s="10">
        <f t="shared" si="19"/>
        <v>0</v>
      </c>
      <c r="M68" s="10">
        <f t="shared" ref="M68:M131" si="21">+L68+M67</f>
        <v>46</v>
      </c>
    </row>
    <row r="69" spans="1:13" ht="17.25" customHeight="1" x14ac:dyDescent="0.25">
      <c r="A69" s="8">
        <v>46378</v>
      </c>
      <c r="B69" s="4">
        <f t="shared" si="13"/>
        <v>249</v>
      </c>
      <c r="C69" s="16">
        <f t="shared" ca="1" si="11"/>
        <v>157.5</v>
      </c>
      <c r="D69">
        <f t="shared" si="14"/>
        <v>0</v>
      </c>
      <c r="G69" s="2" t="str">
        <f t="shared" si="15"/>
        <v>Mon</v>
      </c>
      <c r="H69" s="8">
        <f t="shared" si="20"/>
        <v>46090</v>
      </c>
      <c r="I69" s="6">
        <f t="shared" si="16"/>
        <v>0</v>
      </c>
      <c r="J69" s="6">
        <f t="shared" si="18"/>
        <v>2</v>
      </c>
      <c r="K69" s="9">
        <f t="shared" si="17"/>
        <v>1</v>
      </c>
      <c r="L69" s="10">
        <f t="shared" si="19"/>
        <v>1</v>
      </c>
      <c r="M69" s="10">
        <f t="shared" si="21"/>
        <v>47</v>
      </c>
    </row>
    <row r="70" spans="1:13" ht="17.25" customHeight="1" x14ac:dyDescent="0.25">
      <c r="A70" s="8">
        <v>46380</v>
      </c>
      <c r="B70" s="4">
        <f t="shared" si="13"/>
        <v>251</v>
      </c>
      <c r="C70" s="16">
        <f t="shared" ca="1" si="11"/>
        <v>159.5</v>
      </c>
      <c r="D70">
        <f t="shared" si="14"/>
        <v>0</v>
      </c>
      <c r="G70" s="2" t="str">
        <f t="shared" si="15"/>
        <v>Tue</v>
      </c>
      <c r="H70" s="8">
        <f t="shared" si="20"/>
        <v>46091</v>
      </c>
      <c r="I70" s="6">
        <f t="shared" si="16"/>
        <v>0</v>
      </c>
      <c r="J70" s="6">
        <f t="shared" si="18"/>
        <v>3</v>
      </c>
      <c r="K70" s="9">
        <f t="shared" si="17"/>
        <v>1</v>
      </c>
      <c r="L70" s="10">
        <f t="shared" si="19"/>
        <v>1</v>
      </c>
      <c r="M70" s="10">
        <f t="shared" si="21"/>
        <v>48</v>
      </c>
    </row>
    <row r="71" spans="1:13" ht="17.25" customHeight="1" x14ac:dyDescent="0.25">
      <c r="A71" s="8">
        <v>46385</v>
      </c>
      <c r="B71" s="4">
        <f t="shared" si="13"/>
        <v>253.5</v>
      </c>
      <c r="C71" s="16">
        <f t="shared" ca="1" si="11"/>
        <v>162</v>
      </c>
      <c r="D71">
        <f t="shared" si="14"/>
        <v>0</v>
      </c>
      <c r="G71" s="2" t="str">
        <f t="shared" si="15"/>
        <v>Wed</v>
      </c>
      <c r="H71" s="8">
        <f t="shared" si="20"/>
        <v>46092</v>
      </c>
      <c r="I71" s="6">
        <f t="shared" si="16"/>
        <v>0</v>
      </c>
      <c r="J71" s="6">
        <f t="shared" si="18"/>
        <v>4</v>
      </c>
      <c r="K71" s="9">
        <f t="shared" si="17"/>
        <v>1</v>
      </c>
      <c r="L71" s="10">
        <f t="shared" si="19"/>
        <v>1</v>
      </c>
      <c r="M71" s="10">
        <f t="shared" si="21"/>
        <v>49</v>
      </c>
    </row>
    <row r="72" spans="1:13" ht="17.25" customHeight="1" x14ac:dyDescent="0.25">
      <c r="A72" s="8">
        <v>46387</v>
      </c>
      <c r="B72" s="4">
        <f t="shared" si="13"/>
        <v>255.5</v>
      </c>
      <c r="C72" s="16">
        <f t="shared" ca="1" si="11"/>
        <v>164</v>
      </c>
      <c r="D72">
        <f t="shared" si="14"/>
        <v>0</v>
      </c>
      <c r="G72" s="2" t="str">
        <f t="shared" si="15"/>
        <v>Thu</v>
      </c>
      <c r="H72" s="8">
        <f t="shared" si="20"/>
        <v>46093</v>
      </c>
      <c r="I72" s="6">
        <f t="shared" si="16"/>
        <v>0</v>
      </c>
      <c r="J72" s="6">
        <f t="shared" si="18"/>
        <v>5</v>
      </c>
      <c r="K72" s="9">
        <f t="shared" si="17"/>
        <v>1</v>
      </c>
      <c r="L72" s="10">
        <f t="shared" si="19"/>
        <v>1</v>
      </c>
      <c r="M72" s="10">
        <f t="shared" si="21"/>
        <v>50</v>
      </c>
    </row>
    <row r="73" spans="1:13" ht="17.25" customHeight="1" x14ac:dyDescent="0.25">
      <c r="A73" s="8"/>
      <c r="B73" s="4"/>
      <c r="C73" s="16"/>
      <c r="G73" s="2" t="str">
        <f t="shared" si="15"/>
        <v>Fri</v>
      </c>
      <c r="H73" s="8">
        <f t="shared" si="20"/>
        <v>46094</v>
      </c>
      <c r="I73" s="6">
        <f t="shared" si="16"/>
        <v>0</v>
      </c>
      <c r="J73" s="6">
        <f t="shared" si="18"/>
        <v>6</v>
      </c>
      <c r="K73" s="9">
        <f t="shared" si="17"/>
        <v>1</v>
      </c>
      <c r="L73" s="10">
        <f t="shared" si="19"/>
        <v>1</v>
      </c>
      <c r="M73" s="10">
        <f t="shared" si="21"/>
        <v>51</v>
      </c>
    </row>
    <row r="74" spans="1:13" ht="17.25" customHeight="1" x14ac:dyDescent="0.25">
      <c r="A74" s="8"/>
      <c r="B74" s="4"/>
      <c r="C74" s="16"/>
      <c r="G74" s="2" t="str">
        <f t="shared" si="15"/>
        <v>Sat</v>
      </c>
      <c r="H74" s="8">
        <f t="shared" si="20"/>
        <v>46095</v>
      </c>
      <c r="I74" s="6">
        <f t="shared" si="16"/>
        <v>0</v>
      </c>
      <c r="J74" s="6">
        <f t="shared" si="18"/>
        <v>7</v>
      </c>
      <c r="K74" s="9">
        <f t="shared" si="17"/>
        <v>0</v>
      </c>
      <c r="L74" s="10">
        <f t="shared" si="19"/>
        <v>0</v>
      </c>
      <c r="M74" s="10">
        <f t="shared" si="21"/>
        <v>51</v>
      </c>
    </row>
    <row r="75" spans="1:13" ht="17.25" customHeight="1" x14ac:dyDescent="0.25">
      <c r="A75" s="8"/>
      <c r="B75" s="4"/>
      <c r="C75" s="16"/>
      <c r="G75" s="2" t="str">
        <f t="shared" si="15"/>
        <v>Sun</v>
      </c>
      <c r="H75" s="8">
        <f t="shared" si="20"/>
        <v>46096</v>
      </c>
      <c r="I75" s="6">
        <f t="shared" si="16"/>
        <v>0</v>
      </c>
      <c r="J75" s="6">
        <f t="shared" si="18"/>
        <v>1</v>
      </c>
      <c r="K75" s="9">
        <f t="shared" si="17"/>
        <v>0</v>
      </c>
      <c r="L75" s="10">
        <f t="shared" si="19"/>
        <v>0</v>
      </c>
      <c r="M75" s="10">
        <f t="shared" si="21"/>
        <v>51</v>
      </c>
    </row>
    <row r="76" spans="1:13" ht="17.25" customHeight="1" x14ac:dyDescent="0.25">
      <c r="G76" s="2" t="str">
        <f t="shared" si="15"/>
        <v>Mon</v>
      </c>
      <c r="H76" s="8">
        <f t="shared" si="20"/>
        <v>46097</v>
      </c>
      <c r="I76" s="6">
        <f t="shared" si="16"/>
        <v>0</v>
      </c>
      <c r="J76" s="6">
        <f t="shared" si="18"/>
        <v>2</v>
      </c>
      <c r="K76" s="9">
        <f t="shared" si="17"/>
        <v>1</v>
      </c>
      <c r="L76" s="10">
        <f t="shared" si="19"/>
        <v>1</v>
      </c>
      <c r="M76" s="10">
        <f t="shared" si="21"/>
        <v>52</v>
      </c>
    </row>
    <row r="77" spans="1:13" ht="17.25" customHeight="1" x14ac:dyDescent="0.25">
      <c r="G77" s="2" t="str">
        <f t="shared" si="15"/>
        <v>Tue</v>
      </c>
      <c r="H77" s="8">
        <f t="shared" si="20"/>
        <v>46098</v>
      </c>
      <c r="I77" s="6">
        <f t="shared" si="16"/>
        <v>0</v>
      </c>
      <c r="J77" s="6">
        <f t="shared" si="18"/>
        <v>3</v>
      </c>
      <c r="K77" s="9">
        <f t="shared" si="17"/>
        <v>1</v>
      </c>
      <c r="L77" s="10">
        <f t="shared" si="19"/>
        <v>1</v>
      </c>
      <c r="M77" s="10">
        <f t="shared" si="21"/>
        <v>53</v>
      </c>
    </row>
    <row r="78" spans="1:13" ht="17.25" customHeight="1" x14ac:dyDescent="0.25">
      <c r="G78" s="2" t="str">
        <f t="shared" si="15"/>
        <v>Wed</v>
      </c>
      <c r="H78" s="8">
        <f t="shared" si="20"/>
        <v>46099</v>
      </c>
      <c r="I78" s="6">
        <f t="shared" si="16"/>
        <v>0</v>
      </c>
      <c r="J78" s="6">
        <f t="shared" si="18"/>
        <v>4</v>
      </c>
      <c r="K78" s="9">
        <f t="shared" si="17"/>
        <v>1</v>
      </c>
      <c r="L78" s="10">
        <f t="shared" si="19"/>
        <v>1</v>
      </c>
      <c r="M78" s="10">
        <f t="shared" si="21"/>
        <v>54</v>
      </c>
    </row>
    <row r="79" spans="1:13" ht="17.25" customHeight="1" x14ac:dyDescent="0.25">
      <c r="G79" s="2" t="str">
        <f t="shared" si="15"/>
        <v>Thu</v>
      </c>
      <c r="H79" s="8">
        <f t="shared" si="20"/>
        <v>46100</v>
      </c>
      <c r="I79" s="6">
        <f t="shared" si="16"/>
        <v>0</v>
      </c>
      <c r="J79" s="6">
        <f t="shared" si="18"/>
        <v>5</v>
      </c>
      <c r="K79" s="9">
        <f t="shared" si="17"/>
        <v>1</v>
      </c>
      <c r="L79" s="10">
        <f t="shared" si="19"/>
        <v>1</v>
      </c>
      <c r="M79" s="10">
        <f t="shared" si="21"/>
        <v>55</v>
      </c>
    </row>
    <row r="80" spans="1:13" ht="17.25" customHeight="1" x14ac:dyDescent="0.25">
      <c r="G80" s="2" t="str">
        <f t="shared" si="15"/>
        <v>Fri</v>
      </c>
      <c r="H80" s="8">
        <f t="shared" si="20"/>
        <v>46101</v>
      </c>
      <c r="I80" s="6">
        <f t="shared" si="16"/>
        <v>0</v>
      </c>
      <c r="J80" s="6">
        <f t="shared" si="18"/>
        <v>6</v>
      </c>
      <c r="K80" s="9">
        <f t="shared" si="17"/>
        <v>1</v>
      </c>
      <c r="L80" s="10">
        <f t="shared" si="19"/>
        <v>1</v>
      </c>
      <c r="M80" s="10">
        <f t="shared" si="21"/>
        <v>56</v>
      </c>
    </row>
    <row r="81" spans="7:13" ht="17.25" customHeight="1" x14ac:dyDescent="0.25">
      <c r="G81" s="2" t="str">
        <f t="shared" si="15"/>
        <v>Sat</v>
      </c>
      <c r="H81" s="8">
        <f t="shared" si="20"/>
        <v>46102</v>
      </c>
      <c r="I81" s="6">
        <f t="shared" si="16"/>
        <v>0</v>
      </c>
      <c r="J81" s="6">
        <f t="shared" si="18"/>
        <v>7</v>
      </c>
      <c r="K81" s="9">
        <f t="shared" si="17"/>
        <v>0</v>
      </c>
      <c r="L81" s="10">
        <f t="shared" si="19"/>
        <v>0</v>
      </c>
      <c r="M81" s="10">
        <f t="shared" si="21"/>
        <v>56</v>
      </c>
    </row>
    <row r="82" spans="7:13" ht="17.25" customHeight="1" x14ac:dyDescent="0.25">
      <c r="G82" s="2" t="str">
        <f t="shared" si="15"/>
        <v>Sun</v>
      </c>
      <c r="H82" s="8">
        <f t="shared" si="20"/>
        <v>46103</v>
      </c>
      <c r="I82" s="6">
        <f t="shared" si="16"/>
        <v>0</v>
      </c>
      <c r="J82" s="6">
        <f t="shared" si="18"/>
        <v>1</v>
      </c>
      <c r="K82" s="9">
        <f t="shared" si="17"/>
        <v>0</v>
      </c>
      <c r="L82" s="10">
        <f t="shared" si="19"/>
        <v>0</v>
      </c>
      <c r="M82" s="10">
        <f t="shared" si="21"/>
        <v>56</v>
      </c>
    </row>
    <row r="83" spans="7:13" ht="17.25" customHeight="1" x14ac:dyDescent="0.25">
      <c r="G83" s="2" t="str">
        <f t="shared" si="15"/>
        <v>Mon</v>
      </c>
      <c r="H83" s="8">
        <f t="shared" si="20"/>
        <v>46104</v>
      </c>
      <c r="I83" s="6">
        <f t="shared" si="16"/>
        <v>0</v>
      </c>
      <c r="J83" s="6">
        <f t="shared" si="18"/>
        <v>2</v>
      </c>
      <c r="K83" s="9">
        <f t="shared" si="17"/>
        <v>1</v>
      </c>
      <c r="L83" s="10">
        <f t="shared" si="19"/>
        <v>1</v>
      </c>
      <c r="M83" s="10">
        <f t="shared" si="21"/>
        <v>57</v>
      </c>
    </row>
    <row r="84" spans="7:13" ht="17.25" customHeight="1" x14ac:dyDescent="0.25">
      <c r="G84" s="2" t="str">
        <f t="shared" si="15"/>
        <v>Tue</v>
      </c>
      <c r="H84" s="8">
        <f t="shared" si="20"/>
        <v>46105</v>
      </c>
      <c r="I84" s="6">
        <f t="shared" si="16"/>
        <v>0</v>
      </c>
      <c r="J84" s="6">
        <f t="shared" si="18"/>
        <v>3</v>
      </c>
      <c r="K84" s="9">
        <f t="shared" si="17"/>
        <v>1</v>
      </c>
      <c r="L84" s="10">
        <f t="shared" si="19"/>
        <v>1</v>
      </c>
      <c r="M84" s="10">
        <f t="shared" si="21"/>
        <v>58</v>
      </c>
    </row>
    <row r="85" spans="7:13" ht="17.25" customHeight="1" x14ac:dyDescent="0.25">
      <c r="G85" s="2" t="str">
        <f t="shared" si="15"/>
        <v>Wed</v>
      </c>
      <c r="H85" s="8">
        <f t="shared" si="20"/>
        <v>46106</v>
      </c>
      <c r="I85" s="6">
        <f t="shared" si="16"/>
        <v>0</v>
      </c>
      <c r="J85" s="6">
        <f t="shared" si="18"/>
        <v>4</v>
      </c>
      <c r="K85" s="9">
        <f t="shared" si="17"/>
        <v>1</v>
      </c>
      <c r="L85" s="10">
        <f t="shared" si="19"/>
        <v>1</v>
      </c>
      <c r="M85" s="10">
        <f t="shared" si="21"/>
        <v>59</v>
      </c>
    </row>
    <row r="86" spans="7:13" ht="17.25" customHeight="1" x14ac:dyDescent="0.25">
      <c r="G86" s="2" t="str">
        <f t="shared" si="15"/>
        <v>Thu</v>
      </c>
      <c r="H86" s="8">
        <f t="shared" si="20"/>
        <v>46107</v>
      </c>
      <c r="I86" s="6">
        <f t="shared" si="16"/>
        <v>1</v>
      </c>
      <c r="J86" s="6">
        <f t="shared" si="18"/>
        <v>5</v>
      </c>
      <c r="K86" s="9">
        <f t="shared" si="17"/>
        <v>0.5</v>
      </c>
      <c r="L86" s="10">
        <f t="shared" si="19"/>
        <v>0.5</v>
      </c>
      <c r="M86" s="10">
        <f t="shared" si="21"/>
        <v>59.5</v>
      </c>
    </row>
    <row r="87" spans="7:13" ht="17.25" customHeight="1" x14ac:dyDescent="0.25">
      <c r="G87" s="2" t="str">
        <f t="shared" si="15"/>
        <v>Fri</v>
      </c>
      <c r="H87" s="8">
        <f t="shared" si="20"/>
        <v>46108</v>
      </c>
      <c r="I87" s="6">
        <f t="shared" si="16"/>
        <v>0</v>
      </c>
      <c r="J87" s="6">
        <f t="shared" si="18"/>
        <v>6</v>
      </c>
      <c r="K87" s="9">
        <f t="shared" si="17"/>
        <v>1</v>
      </c>
      <c r="L87" s="10">
        <f t="shared" si="19"/>
        <v>1</v>
      </c>
      <c r="M87" s="10">
        <f t="shared" si="21"/>
        <v>60.5</v>
      </c>
    </row>
    <row r="88" spans="7:13" ht="17.25" customHeight="1" x14ac:dyDescent="0.25">
      <c r="G88" s="2" t="str">
        <f t="shared" si="15"/>
        <v>Sat</v>
      </c>
      <c r="H88" s="8">
        <f t="shared" si="20"/>
        <v>46109</v>
      </c>
      <c r="I88" s="6">
        <f t="shared" si="16"/>
        <v>0</v>
      </c>
      <c r="J88" s="6">
        <f t="shared" si="18"/>
        <v>7</v>
      </c>
      <c r="K88" s="9">
        <f t="shared" si="17"/>
        <v>0</v>
      </c>
      <c r="L88" s="15">
        <f>$B$1</f>
        <v>0.25</v>
      </c>
      <c r="M88" s="10">
        <f t="shared" si="21"/>
        <v>60.75</v>
      </c>
    </row>
    <row r="89" spans="7:13" ht="17.25" customHeight="1" x14ac:dyDescent="0.25">
      <c r="G89" s="2" t="str">
        <f t="shared" si="15"/>
        <v>Sun</v>
      </c>
      <c r="H89" s="8">
        <f t="shared" si="20"/>
        <v>46110</v>
      </c>
      <c r="I89" s="6">
        <f t="shared" si="16"/>
        <v>0</v>
      </c>
      <c r="J89" s="6">
        <f t="shared" si="18"/>
        <v>1</v>
      </c>
      <c r="K89" s="9">
        <f t="shared" si="17"/>
        <v>0</v>
      </c>
      <c r="L89" s="15">
        <f>$B$1</f>
        <v>0.25</v>
      </c>
      <c r="M89" s="10">
        <f t="shared" si="21"/>
        <v>61</v>
      </c>
    </row>
    <row r="90" spans="7:13" ht="17.25" customHeight="1" x14ac:dyDescent="0.25">
      <c r="G90" s="2" t="str">
        <f t="shared" si="15"/>
        <v>Mon</v>
      </c>
      <c r="H90" s="8">
        <f t="shared" si="20"/>
        <v>46111</v>
      </c>
      <c r="I90" s="6">
        <f t="shared" si="16"/>
        <v>0</v>
      </c>
      <c r="J90" s="6">
        <f t="shared" si="18"/>
        <v>2</v>
      </c>
      <c r="K90" s="9">
        <f t="shared" si="17"/>
        <v>1</v>
      </c>
      <c r="L90" s="10">
        <f t="shared" si="19"/>
        <v>1</v>
      </c>
      <c r="M90" s="10">
        <f t="shared" si="21"/>
        <v>62</v>
      </c>
    </row>
    <row r="91" spans="7:13" ht="17.25" customHeight="1" x14ac:dyDescent="0.25">
      <c r="G91" s="2" t="str">
        <f t="shared" si="15"/>
        <v>Tue</v>
      </c>
      <c r="H91" s="8">
        <f t="shared" si="20"/>
        <v>46112</v>
      </c>
      <c r="I91" s="6">
        <f t="shared" si="16"/>
        <v>1</v>
      </c>
      <c r="J91" s="6">
        <f t="shared" si="18"/>
        <v>3</v>
      </c>
      <c r="K91" s="9">
        <f t="shared" si="17"/>
        <v>0.5</v>
      </c>
      <c r="L91" s="10">
        <f t="shared" si="19"/>
        <v>0.5</v>
      </c>
      <c r="M91" s="10">
        <f t="shared" si="21"/>
        <v>62.5</v>
      </c>
    </row>
    <row r="92" spans="7:13" ht="17.25" customHeight="1" x14ac:dyDescent="0.25">
      <c r="G92" s="2" t="str">
        <f t="shared" si="15"/>
        <v>Wed</v>
      </c>
      <c r="H92" s="8">
        <f t="shared" si="20"/>
        <v>46113</v>
      </c>
      <c r="I92" s="6">
        <f t="shared" si="16"/>
        <v>0</v>
      </c>
      <c r="J92" s="6">
        <f t="shared" si="18"/>
        <v>4</v>
      </c>
      <c r="K92" s="9">
        <f t="shared" si="17"/>
        <v>1</v>
      </c>
      <c r="L92" s="10">
        <f t="shared" si="19"/>
        <v>1</v>
      </c>
      <c r="M92" s="10">
        <f t="shared" si="21"/>
        <v>63.5</v>
      </c>
    </row>
    <row r="93" spans="7:13" ht="17.25" customHeight="1" x14ac:dyDescent="0.25">
      <c r="G93" s="2" t="str">
        <f t="shared" si="15"/>
        <v>Thu</v>
      </c>
      <c r="H93" s="8">
        <f t="shared" si="20"/>
        <v>46114</v>
      </c>
      <c r="I93" s="6">
        <f t="shared" si="16"/>
        <v>0</v>
      </c>
      <c r="J93" s="6">
        <f t="shared" si="18"/>
        <v>5</v>
      </c>
      <c r="K93" s="9">
        <f t="shared" si="17"/>
        <v>1</v>
      </c>
      <c r="L93" s="10">
        <f t="shared" si="19"/>
        <v>1</v>
      </c>
      <c r="M93" s="10">
        <f t="shared" si="21"/>
        <v>64.5</v>
      </c>
    </row>
    <row r="94" spans="7:13" ht="17.25" customHeight="1" x14ac:dyDescent="0.25">
      <c r="G94" s="2" t="str">
        <f t="shared" si="15"/>
        <v>Fri</v>
      </c>
      <c r="H94" s="8">
        <f t="shared" si="20"/>
        <v>46115</v>
      </c>
      <c r="I94" s="6">
        <f t="shared" si="16"/>
        <v>1</v>
      </c>
      <c r="J94" s="6">
        <f t="shared" si="18"/>
        <v>6</v>
      </c>
      <c r="K94" s="9">
        <f t="shared" si="17"/>
        <v>0.5</v>
      </c>
      <c r="L94" s="10">
        <f t="shared" si="19"/>
        <v>0.5</v>
      </c>
      <c r="M94" s="10">
        <f t="shared" si="21"/>
        <v>65</v>
      </c>
    </row>
    <row r="95" spans="7:13" ht="17.25" customHeight="1" x14ac:dyDescent="0.25">
      <c r="G95" s="2" t="str">
        <f t="shared" si="15"/>
        <v>Sat</v>
      </c>
      <c r="H95" s="8">
        <f t="shared" si="20"/>
        <v>46116</v>
      </c>
      <c r="I95" s="6">
        <f t="shared" si="16"/>
        <v>0</v>
      </c>
      <c r="J95" s="6">
        <f t="shared" si="18"/>
        <v>7</v>
      </c>
      <c r="K95" s="9">
        <f t="shared" si="17"/>
        <v>0</v>
      </c>
      <c r="L95" s="15">
        <f>$B$1</f>
        <v>0.25</v>
      </c>
      <c r="M95" s="10">
        <f t="shared" si="21"/>
        <v>65.25</v>
      </c>
    </row>
    <row r="96" spans="7:13" ht="17.25" customHeight="1" x14ac:dyDescent="0.25">
      <c r="G96" s="2" t="str">
        <f t="shared" si="15"/>
        <v>Sun</v>
      </c>
      <c r="H96" s="8">
        <f t="shared" si="20"/>
        <v>46117</v>
      </c>
      <c r="I96" s="6">
        <f t="shared" si="16"/>
        <v>0</v>
      </c>
      <c r="J96" s="6">
        <f t="shared" si="18"/>
        <v>1</v>
      </c>
      <c r="K96" s="9">
        <f t="shared" si="17"/>
        <v>0</v>
      </c>
      <c r="L96" s="15">
        <f>$B$1</f>
        <v>0.25</v>
      </c>
      <c r="M96" s="10">
        <f t="shared" si="21"/>
        <v>65.5</v>
      </c>
    </row>
    <row r="97" spans="7:13" ht="17.25" customHeight="1" x14ac:dyDescent="0.25">
      <c r="G97" s="2" t="str">
        <f t="shared" si="15"/>
        <v>Mon</v>
      </c>
      <c r="H97" s="8">
        <f t="shared" si="20"/>
        <v>46118</v>
      </c>
      <c r="I97" s="6">
        <f t="shared" si="16"/>
        <v>0</v>
      </c>
      <c r="J97" s="6">
        <f t="shared" si="18"/>
        <v>2</v>
      </c>
      <c r="K97" s="9">
        <f t="shared" si="17"/>
        <v>1</v>
      </c>
      <c r="L97" s="10">
        <f t="shared" si="19"/>
        <v>1</v>
      </c>
      <c r="M97" s="10">
        <f t="shared" si="21"/>
        <v>66.5</v>
      </c>
    </row>
    <row r="98" spans="7:13" ht="17.25" customHeight="1" x14ac:dyDescent="0.25">
      <c r="G98" s="2" t="str">
        <f t="shared" si="15"/>
        <v>Tue</v>
      </c>
      <c r="H98" s="8">
        <f t="shared" si="20"/>
        <v>46119</v>
      </c>
      <c r="I98" s="6">
        <f t="shared" si="16"/>
        <v>0</v>
      </c>
      <c r="J98" s="6">
        <f t="shared" si="18"/>
        <v>3</v>
      </c>
      <c r="K98" s="9">
        <f t="shared" si="17"/>
        <v>1</v>
      </c>
      <c r="L98" s="10">
        <f t="shared" si="19"/>
        <v>1</v>
      </c>
      <c r="M98" s="10">
        <f t="shared" si="21"/>
        <v>67.5</v>
      </c>
    </row>
    <row r="99" spans="7:13" ht="17.25" customHeight="1" x14ac:dyDescent="0.25">
      <c r="G99" s="2" t="str">
        <f t="shared" si="15"/>
        <v>Wed</v>
      </c>
      <c r="H99" s="8">
        <f t="shared" si="20"/>
        <v>46120</v>
      </c>
      <c r="I99" s="6">
        <f t="shared" si="16"/>
        <v>0</v>
      </c>
      <c r="J99" s="6">
        <f t="shared" si="18"/>
        <v>4</v>
      </c>
      <c r="K99" s="9">
        <f t="shared" si="17"/>
        <v>1</v>
      </c>
      <c r="L99" s="10">
        <f t="shared" si="19"/>
        <v>1</v>
      </c>
      <c r="M99" s="10">
        <f t="shared" si="21"/>
        <v>68.5</v>
      </c>
    </row>
    <row r="100" spans="7:13" ht="17.25" customHeight="1" x14ac:dyDescent="0.25">
      <c r="G100" s="2" t="str">
        <f t="shared" si="15"/>
        <v>Thu</v>
      </c>
      <c r="H100" s="8">
        <f t="shared" si="20"/>
        <v>46121</v>
      </c>
      <c r="I100" s="6">
        <f t="shared" si="16"/>
        <v>0</v>
      </c>
      <c r="J100" s="6">
        <f t="shared" si="18"/>
        <v>5</v>
      </c>
      <c r="K100" s="9">
        <f t="shared" si="17"/>
        <v>1</v>
      </c>
      <c r="L100" s="10">
        <f t="shared" si="19"/>
        <v>1</v>
      </c>
      <c r="M100" s="10">
        <f t="shared" si="21"/>
        <v>69.5</v>
      </c>
    </row>
    <row r="101" spans="7:13" ht="17.25" customHeight="1" x14ac:dyDescent="0.25">
      <c r="G101" s="2" t="str">
        <f t="shared" si="15"/>
        <v>Fri</v>
      </c>
      <c r="H101" s="8">
        <f t="shared" si="20"/>
        <v>46122</v>
      </c>
      <c r="I101" s="6">
        <f t="shared" si="16"/>
        <v>0</v>
      </c>
      <c r="J101" s="6">
        <f t="shared" si="18"/>
        <v>6</v>
      </c>
      <c r="K101" s="9">
        <f t="shared" si="17"/>
        <v>1</v>
      </c>
      <c r="L101" s="10">
        <f t="shared" si="19"/>
        <v>1</v>
      </c>
      <c r="M101" s="10">
        <f t="shared" si="21"/>
        <v>70.5</v>
      </c>
    </row>
    <row r="102" spans="7:13" ht="17.25" customHeight="1" x14ac:dyDescent="0.25">
      <c r="G102" s="2" t="str">
        <f t="shared" si="15"/>
        <v>Sat</v>
      </c>
      <c r="H102" s="8">
        <f t="shared" si="20"/>
        <v>46123</v>
      </c>
      <c r="I102" s="6">
        <f t="shared" si="16"/>
        <v>0</v>
      </c>
      <c r="J102" s="6">
        <f t="shared" si="18"/>
        <v>7</v>
      </c>
      <c r="K102" s="9">
        <f t="shared" si="17"/>
        <v>0</v>
      </c>
      <c r="L102" s="15">
        <f>$B$1</f>
        <v>0.25</v>
      </c>
      <c r="M102" s="10">
        <f t="shared" si="21"/>
        <v>70.75</v>
      </c>
    </row>
    <row r="103" spans="7:13" ht="17.25" customHeight="1" x14ac:dyDescent="0.25">
      <c r="G103" s="2" t="str">
        <f t="shared" si="15"/>
        <v>Sun</v>
      </c>
      <c r="H103" s="8">
        <f t="shared" si="20"/>
        <v>46124</v>
      </c>
      <c r="I103" s="6">
        <f t="shared" si="16"/>
        <v>0</v>
      </c>
      <c r="J103" s="6">
        <f t="shared" si="18"/>
        <v>1</v>
      </c>
      <c r="K103" s="9">
        <f t="shared" si="17"/>
        <v>0</v>
      </c>
      <c r="L103" s="15">
        <f>$B$1</f>
        <v>0.25</v>
      </c>
      <c r="M103" s="10">
        <f t="shared" si="21"/>
        <v>71</v>
      </c>
    </row>
    <row r="104" spans="7:13" ht="17.25" customHeight="1" x14ac:dyDescent="0.25">
      <c r="G104" s="2" t="str">
        <f t="shared" si="15"/>
        <v>Mon</v>
      </c>
      <c r="H104" s="8">
        <f t="shared" si="20"/>
        <v>46125</v>
      </c>
      <c r="I104" s="6">
        <f t="shared" si="16"/>
        <v>0</v>
      </c>
      <c r="J104" s="6">
        <f t="shared" si="18"/>
        <v>2</v>
      </c>
      <c r="K104" s="9">
        <f t="shared" si="17"/>
        <v>1</v>
      </c>
      <c r="L104" s="10">
        <f t="shared" si="19"/>
        <v>1</v>
      </c>
      <c r="M104" s="10">
        <f t="shared" si="21"/>
        <v>72</v>
      </c>
    </row>
    <row r="105" spans="7:13" ht="17.25" customHeight="1" x14ac:dyDescent="0.25">
      <c r="G105" s="2" t="str">
        <f t="shared" si="15"/>
        <v>Tue</v>
      </c>
      <c r="H105" s="8">
        <f t="shared" si="20"/>
        <v>46126</v>
      </c>
      <c r="I105" s="6">
        <f t="shared" si="16"/>
        <v>1</v>
      </c>
      <c r="J105" s="6">
        <f t="shared" si="18"/>
        <v>3</v>
      </c>
      <c r="K105" s="9">
        <f t="shared" si="17"/>
        <v>0.5</v>
      </c>
      <c r="L105" s="10">
        <f t="shared" si="19"/>
        <v>0.5</v>
      </c>
      <c r="M105" s="10">
        <f t="shared" si="21"/>
        <v>72.5</v>
      </c>
    </row>
    <row r="106" spans="7:13" ht="17.25" customHeight="1" x14ac:dyDescent="0.25">
      <c r="G106" s="2" t="str">
        <f t="shared" si="15"/>
        <v>Wed</v>
      </c>
      <c r="H106" s="8">
        <f t="shared" si="20"/>
        <v>46127</v>
      </c>
      <c r="I106" s="6">
        <f t="shared" si="16"/>
        <v>0</v>
      </c>
      <c r="J106" s="6">
        <f t="shared" si="18"/>
        <v>4</v>
      </c>
      <c r="K106" s="9">
        <f t="shared" si="17"/>
        <v>1</v>
      </c>
      <c r="L106" s="10">
        <f t="shared" si="19"/>
        <v>1</v>
      </c>
      <c r="M106" s="10">
        <f t="shared" si="21"/>
        <v>73.5</v>
      </c>
    </row>
    <row r="107" spans="7:13" ht="17.25" customHeight="1" x14ac:dyDescent="0.25">
      <c r="G107" s="2" t="str">
        <f t="shared" si="15"/>
        <v>Thu</v>
      </c>
      <c r="H107" s="8">
        <f t="shared" si="20"/>
        <v>46128</v>
      </c>
      <c r="I107" s="6">
        <f t="shared" si="16"/>
        <v>0</v>
      </c>
      <c r="J107" s="6">
        <f t="shared" si="18"/>
        <v>5</v>
      </c>
      <c r="K107" s="9">
        <f t="shared" si="17"/>
        <v>1</v>
      </c>
      <c r="L107" s="10">
        <f t="shared" si="19"/>
        <v>1</v>
      </c>
      <c r="M107" s="10">
        <f t="shared" si="21"/>
        <v>74.5</v>
      </c>
    </row>
    <row r="108" spans="7:13" ht="17.25" customHeight="1" x14ac:dyDescent="0.25">
      <c r="G108" s="2" t="str">
        <f t="shared" si="15"/>
        <v>Fri</v>
      </c>
      <c r="H108" s="8">
        <f t="shared" si="20"/>
        <v>46129</v>
      </c>
      <c r="I108" s="6">
        <f t="shared" si="16"/>
        <v>0</v>
      </c>
      <c r="J108" s="6">
        <f t="shared" si="18"/>
        <v>6</v>
      </c>
      <c r="K108" s="9">
        <f t="shared" si="17"/>
        <v>1</v>
      </c>
      <c r="L108" s="10">
        <f t="shared" si="19"/>
        <v>1</v>
      </c>
      <c r="M108" s="10">
        <f t="shared" si="21"/>
        <v>75.5</v>
      </c>
    </row>
    <row r="109" spans="7:13" ht="17.25" customHeight="1" x14ac:dyDescent="0.25">
      <c r="G109" s="2" t="str">
        <f t="shared" si="15"/>
        <v>Sat</v>
      </c>
      <c r="H109" s="8">
        <f t="shared" si="20"/>
        <v>46130</v>
      </c>
      <c r="I109" s="6">
        <f t="shared" si="16"/>
        <v>0</v>
      </c>
      <c r="J109" s="6">
        <f t="shared" si="18"/>
        <v>7</v>
      </c>
      <c r="K109" s="9">
        <f t="shared" si="17"/>
        <v>0</v>
      </c>
      <c r="L109" s="15">
        <f>$B$1</f>
        <v>0.25</v>
      </c>
      <c r="M109" s="10">
        <f t="shared" si="21"/>
        <v>75.75</v>
      </c>
    </row>
    <row r="110" spans="7:13" ht="17.25" customHeight="1" x14ac:dyDescent="0.25">
      <c r="G110" s="2" t="str">
        <f t="shared" si="15"/>
        <v>Sun</v>
      </c>
      <c r="H110" s="8">
        <f t="shared" si="20"/>
        <v>46131</v>
      </c>
      <c r="I110" s="6">
        <f t="shared" si="16"/>
        <v>0</v>
      </c>
      <c r="J110" s="6">
        <f t="shared" si="18"/>
        <v>1</v>
      </c>
      <c r="K110" s="9">
        <f t="shared" si="17"/>
        <v>0</v>
      </c>
      <c r="L110" s="15">
        <f>$B$1</f>
        <v>0.25</v>
      </c>
      <c r="M110" s="10">
        <f t="shared" si="21"/>
        <v>76</v>
      </c>
    </row>
    <row r="111" spans="7:13" ht="17.25" customHeight="1" x14ac:dyDescent="0.25">
      <c r="G111" s="2" t="str">
        <f t="shared" si="15"/>
        <v>Mon</v>
      </c>
      <c r="H111" s="8">
        <f t="shared" si="20"/>
        <v>46132</v>
      </c>
      <c r="I111" s="6">
        <f t="shared" si="16"/>
        <v>0</v>
      </c>
      <c r="J111" s="6">
        <f t="shared" si="18"/>
        <v>2</v>
      </c>
      <c r="K111" s="9">
        <f t="shared" si="17"/>
        <v>1</v>
      </c>
      <c r="L111" s="10">
        <f t="shared" si="19"/>
        <v>1</v>
      </c>
      <c r="M111" s="10">
        <f t="shared" si="21"/>
        <v>77</v>
      </c>
    </row>
    <row r="112" spans="7:13" ht="17.25" customHeight="1" x14ac:dyDescent="0.25">
      <c r="G112" s="2" t="str">
        <f t="shared" si="15"/>
        <v>Tue</v>
      </c>
      <c r="H112" s="8">
        <f t="shared" si="20"/>
        <v>46133</v>
      </c>
      <c r="I112" s="6">
        <f t="shared" si="16"/>
        <v>0</v>
      </c>
      <c r="J112" s="6">
        <f t="shared" si="18"/>
        <v>3</v>
      </c>
      <c r="K112" s="9">
        <f t="shared" si="17"/>
        <v>1</v>
      </c>
      <c r="L112" s="10">
        <f t="shared" si="19"/>
        <v>1</v>
      </c>
      <c r="M112" s="10">
        <f t="shared" si="21"/>
        <v>78</v>
      </c>
    </row>
    <row r="113" spans="7:13" ht="17.25" customHeight="1" x14ac:dyDescent="0.25">
      <c r="G113" s="2" t="str">
        <f t="shared" si="15"/>
        <v>Wed</v>
      </c>
      <c r="H113" s="8">
        <f t="shared" si="20"/>
        <v>46134</v>
      </c>
      <c r="I113" s="6">
        <f t="shared" si="16"/>
        <v>0</v>
      </c>
      <c r="J113" s="6">
        <f t="shared" si="18"/>
        <v>4</v>
      </c>
      <c r="K113" s="9">
        <f t="shared" si="17"/>
        <v>1</v>
      </c>
      <c r="L113" s="10">
        <f t="shared" si="19"/>
        <v>1</v>
      </c>
      <c r="M113" s="10">
        <f t="shared" si="21"/>
        <v>79</v>
      </c>
    </row>
    <row r="114" spans="7:13" ht="17.25" customHeight="1" x14ac:dyDescent="0.25">
      <c r="G114" s="2" t="str">
        <f t="shared" si="15"/>
        <v>Thu</v>
      </c>
      <c r="H114" s="8">
        <f t="shared" si="20"/>
        <v>46135</v>
      </c>
      <c r="I114" s="6">
        <f t="shared" si="16"/>
        <v>0</v>
      </c>
      <c r="J114" s="6">
        <f t="shared" si="18"/>
        <v>5</v>
      </c>
      <c r="K114" s="9">
        <f t="shared" si="17"/>
        <v>1</v>
      </c>
      <c r="L114" s="10">
        <f t="shared" si="19"/>
        <v>1</v>
      </c>
      <c r="M114" s="10">
        <f t="shared" si="21"/>
        <v>80</v>
      </c>
    </row>
    <row r="115" spans="7:13" ht="17.25" customHeight="1" x14ac:dyDescent="0.25">
      <c r="G115" s="2" t="str">
        <f t="shared" si="15"/>
        <v>Fri</v>
      </c>
      <c r="H115" s="8">
        <f t="shared" si="20"/>
        <v>46136</v>
      </c>
      <c r="I115" s="6">
        <f t="shared" si="16"/>
        <v>0</v>
      </c>
      <c r="J115" s="6">
        <f t="shared" si="18"/>
        <v>6</v>
      </c>
      <c r="K115" s="9">
        <f t="shared" si="17"/>
        <v>1</v>
      </c>
      <c r="L115" s="10">
        <f t="shared" si="19"/>
        <v>1</v>
      </c>
      <c r="M115" s="10">
        <f t="shared" si="21"/>
        <v>81</v>
      </c>
    </row>
    <row r="116" spans="7:13" ht="17.25" customHeight="1" x14ac:dyDescent="0.25">
      <c r="G116" s="2" t="str">
        <f t="shared" si="15"/>
        <v>Sat</v>
      </c>
      <c r="H116" s="8">
        <f t="shared" si="20"/>
        <v>46137</v>
      </c>
      <c r="I116" s="6">
        <f t="shared" si="16"/>
        <v>0</v>
      </c>
      <c r="J116" s="6">
        <f t="shared" si="18"/>
        <v>7</v>
      </c>
      <c r="K116" s="9">
        <f t="shared" si="17"/>
        <v>0</v>
      </c>
      <c r="L116" s="10">
        <f t="shared" si="19"/>
        <v>0</v>
      </c>
      <c r="M116" s="10">
        <f t="shared" si="21"/>
        <v>81</v>
      </c>
    </row>
    <row r="117" spans="7:13" ht="17.25" customHeight="1" x14ac:dyDescent="0.25">
      <c r="G117" s="2" t="str">
        <f t="shared" si="15"/>
        <v>Sun</v>
      </c>
      <c r="H117" s="8">
        <f t="shared" si="20"/>
        <v>46138</v>
      </c>
      <c r="I117" s="6">
        <f t="shared" si="16"/>
        <v>0</v>
      </c>
      <c r="J117" s="6">
        <f t="shared" si="18"/>
        <v>1</v>
      </c>
      <c r="K117" s="9">
        <f t="shared" si="17"/>
        <v>0</v>
      </c>
      <c r="L117" s="10">
        <f t="shared" si="19"/>
        <v>0</v>
      </c>
      <c r="M117" s="10">
        <f t="shared" si="21"/>
        <v>81</v>
      </c>
    </row>
    <row r="118" spans="7:13" ht="17.25" customHeight="1" x14ac:dyDescent="0.25">
      <c r="G118" s="2" t="str">
        <f t="shared" si="15"/>
        <v>Mon</v>
      </c>
      <c r="H118" s="8">
        <f t="shared" si="20"/>
        <v>46139</v>
      </c>
      <c r="I118" s="6">
        <f t="shared" si="16"/>
        <v>0</v>
      </c>
      <c r="J118" s="6">
        <f t="shared" si="18"/>
        <v>2</v>
      </c>
      <c r="K118" s="9">
        <f t="shared" si="17"/>
        <v>1</v>
      </c>
      <c r="L118" s="10">
        <f t="shared" si="19"/>
        <v>1</v>
      </c>
      <c r="M118" s="10">
        <f t="shared" si="21"/>
        <v>82</v>
      </c>
    </row>
    <row r="119" spans="7:13" ht="17.25" customHeight="1" x14ac:dyDescent="0.25">
      <c r="G119" s="2" t="str">
        <f t="shared" si="15"/>
        <v>Tue</v>
      </c>
      <c r="H119" s="8">
        <f t="shared" si="20"/>
        <v>46140</v>
      </c>
      <c r="I119" s="6">
        <f t="shared" si="16"/>
        <v>0</v>
      </c>
      <c r="J119" s="6">
        <f t="shared" si="18"/>
        <v>3</v>
      </c>
      <c r="K119" s="9">
        <f t="shared" si="17"/>
        <v>1</v>
      </c>
      <c r="L119" s="10">
        <f t="shared" si="19"/>
        <v>1</v>
      </c>
      <c r="M119" s="10">
        <f t="shared" si="21"/>
        <v>83</v>
      </c>
    </row>
    <row r="120" spans="7:13" ht="17.25" customHeight="1" x14ac:dyDescent="0.25">
      <c r="G120" s="2" t="str">
        <f t="shared" si="15"/>
        <v>Wed</v>
      </c>
      <c r="H120" s="8">
        <f t="shared" si="20"/>
        <v>46141</v>
      </c>
      <c r="I120" s="6">
        <f t="shared" si="16"/>
        <v>0</v>
      </c>
      <c r="J120" s="6">
        <f t="shared" si="18"/>
        <v>4</v>
      </c>
      <c r="K120" s="9">
        <f t="shared" si="17"/>
        <v>1</v>
      </c>
      <c r="L120" s="10">
        <f t="shared" si="19"/>
        <v>1</v>
      </c>
      <c r="M120" s="10">
        <f t="shared" si="21"/>
        <v>84</v>
      </c>
    </row>
    <row r="121" spans="7:13" ht="17.25" customHeight="1" x14ac:dyDescent="0.25">
      <c r="G121" s="2" t="str">
        <f t="shared" si="15"/>
        <v>Thu</v>
      </c>
      <c r="H121" s="8">
        <f t="shared" si="20"/>
        <v>46142</v>
      </c>
      <c r="I121" s="6">
        <f t="shared" si="16"/>
        <v>0</v>
      </c>
      <c r="J121" s="6">
        <f t="shared" si="18"/>
        <v>5</v>
      </c>
      <c r="K121" s="9">
        <f t="shared" si="17"/>
        <v>1</v>
      </c>
      <c r="L121" s="10">
        <f t="shared" si="19"/>
        <v>1</v>
      </c>
      <c r="M121" s="10">
        <f t="shared" si="21"/>
        <v>85</v>
      </c>
    </row>
    <row r="122" spans="7:13" ht="17.25" customHeight="1" x14ac:dyDescent="0.25">
      <c r="G122" s="2" t="str">
        <f t="shared" si="15"/>
        <v>Fri</v>
      </c>
      <c r="H122" s="8">
        <f t="shared" si="20"/>
        <v>46143</v>
      </c>
      <c r="I122" s="6">
        <f t="shared" si="16"/>
        <v>1</v>
      </c>
      <c r="J122" s="6">
        <f t="shared" si="18"/>
        <v>6</v>
      </c>
      <c r="K122" s="9">
        <f t="shared" si="17"/>
        <v>0.5</v>
      </c>
      <c r="L122" s="10">
        <f t="shared" si="19"/>
        <v>0.5</v>
      </c>
      <c r="M122" s="10">
        <f t="shared" si="21"/>
        <v>85.5</v>
      </c>
    </row>
    <row r="123" spans="7:13" ht="17.25" customHeight="1" x14ac:dyDescent="0.25">
      <c r="G123" s="2" t="str">
        <f t="shared" si="15"/>
        <v>Sat</v>
      </c>
      <c r="H123" s="8">
        <f t="shared" si="20"/>
        <v>46144</v>
      </c>
      <c r="I123" s="6">
        <f t="shared" si="16"/>
        <v>0</v>
      </c>
      <c r="J123" s="6">
        <f t="shared" si="18"/>
        <v>7</v>
      </c>
      <c r="K123" s="9">
        <f t="shared" si="17"/>
        <v>0</v>
      </c>
      <c r="L123" s="10">
        <f t="shared" si="19"/>
        <v>0</v>
      </c>
      <c r="M123" s="10">
        <f t="shared" si="21"/>
        <v>85.5</v>
      </c>
    </row>
    <row r="124" spans="7:13" ht="17.25" customHeight="1" x14ac:dyDescent="0.25">
      <c r="G124" s="2" t="str">
        <f t="shared" si="15"/>
        <v>Sun</v>
      </c>
      <c r="H124" s="8">
        <f t="shared" si="20"/>
        <v>46145</v>
      </c>
      <c r="I124" s="6">
        <f t="shared" si="16"/>
        <v>0</v>
      </c>
      <c r="J124" s="6">
        <f t="shared" si="18"/>
        <v>1</v>
      </c>
      <c r="K124" s="9">
        <f t="shared" si="17"/>
        <v>0</v>
      </c>
      <c r="L124" s="10">
        <f t="shared" si="19"/>
        <v>0</v>
      </c>
      <c r="M124" s="10">
        <f t="shared" si="21"/>
        <v>85.5</v>
      </c>
    </row>
    <row r="125" spans="7:13" ht="17.25" customHeight="1" x14ac:dyDescent="0.25">
      <c r="G125" s="2" t="str">
        <f t="shared" si="15"/>
        <v>Mon</v>
      </c>
      <c r="H125" s="8">
        <f t="shared" si="20"/>
        <v>46146</v>
      </c>
      <c r="I125" s="6">
        <f t="shared" si="16"/>
        <v>0</v>
      </c>
      <c r="J125" s="6">
        <f t="shared" si="18"/>
        <v>2</v>
      </c>
      <c r="K125" s="9">
        <f t="shared" si="17"/>
        <v>1</v>
      </c>
      <c r="L125" s="10">
        <f t="shared" si="19"/>
        <v>1</v>
      </c>
      <c r="M125" s="10">
        <f t="shared" si="21"/>
        <v>86.5</v>
      </c>
    </row>
    <row r="126" spans="7:13" ht="17.25" customHeight="1" x14ac:dyDescent="0.25">
      <c r="G126" s="2" t="str">
        <f t="shared" si="15"/>
        <v>Tue</v>
      </c>
      <c r="H126" s="8">
        <f t="shared" si="20"/>
        <v>46147</v>
      </c>
      <c r="I126" s="6">
        <f t="shared" si="16"/>
        <v>0</v>
      </c>
      <c r="J126" s="6">
        <f t="shared" si="18"/>
        <v>3</v>
      </c>
      <c r="K126" s="9">
        <f t="shared" si="17"/>
        <v>1</v>
      </c>
      <c r="L126" s="10">
        <f t="shared" si="19"/>
        <v>1</v>
      </c>
      <c r="M126" s="10">
        <f t="shared" si="21"/>
        <v>87.5</v>
      </c>
    </row>
    <row r="127" spans="7:13" ht="17.25" customHeight="1" x14ac:dyDescent="0.25">
      <c r="G127" s="2" t="str">
        <f t="shared" si="15"/>
        <v>Wed</v>
      </c>
      <c r="H127" s="8">
        <f t="shared" si="20"/>
        <v>46148</v>
      </c>
      <c r="I127" s="6">
        <f t="shared" si="16"/>
        <v>0</v>
      </c>
      <c r="J127" s="6">
        <f t="shared" si="18"/>
        <v>4</v>
      </c>
      <c r="K127" s="9">
        <f t="shared" si="17"/>
        <v>1</v>
      </c>
      <c r="L127" s="10">
        <f t="shared" si="19"/>
        <v>1</v>
      </c>
      <c r="M127" s="10">
        <f t="shared" si="21"/>
        <v>88.5</v>
      </c>
    </row>
    <row r="128" spans="7:13" ht="17.25" customHeight="1" x14ac:dyDescent="0.25">
      <c r="G128" s="2" t="str">
        <f t="shared" si="15"/>
        <v>Thu</v>
      </c>
      <c r="H128" s="8">
        <f t="shared" si="20"/>
        <v>46149</v>
      </c>
      <c r="I128" s="6">
        <f t="shared" si="16"/>
        <v>0</v>
      </c>
      <c r="J128" s="6">
        <f t="shared" si="18"/>
        <v>5</v>
      </c>
      <c r="K128" s="9">
        <f t="shared" si="17"/>
        <v>1</v>
      </c>
      <c r="L128" s="10">
        <f t="shared" si="19"/>
        <v>1</v>
      </c>
      <c r="M128" s="10">
        <f t="shared" si="21"/>
        <v>89.5</v>
      </c>
    </row>
    <row r="129" spans="7:13" ht="17.25" customHeight="1" x14ac:dyDescent="0.25">
      <c r="G129" s="2" t="str">
        <f t="shared" si="15"/>
        <v>Fri</v>
      </c>
      <c r="H129" s="8">
        <f t="shared" si="20"/>
        <v>46150</v>
      </c>
      <c r="I129" s="6">
        <f t="shared" si="16"/>
        <v>0</v>
      </c>
      <c r="J129" s="6">
        <f t="shared" si="18"/>
        <v>6</v>
      </c>
      <c r="K129" s="9">
        <f t="shared" si="17"/>
        <v>1</v>
      </c>
      <c r="L129" s="10">
        <f t="shared" si="19"/>
        <v>1</v>
      </c>
      <c r="M129" s="10">
        <f t="shared" si="21"/>
        <v>90.5</v>
      </c>
    </row>
    <row r="130" spans="7:13" ht="17.25" customHeight="1" x14ac:dyDescent="0.25">
      <c r="G130" s="2" t="str">
        <f t="shared" ref="G130:G193" si="22">TEXT(H130,"ddd")</f>
        <v>Sat</v>
      </c>
      <c r="H130" s="8">
        <f t="shared" si="20"/>
        <v>46151</v>
      </c>
      <c r="I130" s="6">
        <f t="shared" ref="I130:I193" si="23">IF(ISNUMBER(VLOOKUP(H130,$T$3:$X$18,5,FALSE)),1,0)</f>
        <v>0</v>
      </c>
      <c r="J130" s="6">
        <f t="shared" si="18"/>
        <v>7</v>
      </c>
      <c r="K130" s="9">
        <f t="shared" ref="K130:K193" si="24">IF(I130=1,$B$2,IF(AND(J130&lt;7,J130&gt;1),1,0))</f>
        <v>0</v>
      </c>
      <c r="L130" s="10">
        <f t="shared" si="19"/>
        <v>0</v>
      </c>
      <c r="M130" s="10">
        <f t="shared" si="21"/>
        <v>90.5</v>
      </c>
    </row>
    <row r="131" spans="7:13" ht="17.25" customHeight="1" x14ac:dyDescent="0.25">
      <c r="G131" s="2" t="str">
        <f t="shared" si="22"/>
        <v>Sun</v>
      </c>
      <c r="H131" s="8">
        <f t="shared" si="20"/>
        <v>46152</v>
      </c>
      <c r="I131" s="6">
        <f t="shared" si="23"/>
        <v>0</v>
      </c>
      <c r="J131" s="6">
        <f t="shared" ref="J131:J194" si="25">WEEKDAY(H131)</f>
        <v>1</v>
      </c>
      <c r="K131" s="9">
        <f t="shared" si="24"/>
        <v>0</v>
      </c>
      <c r="L131" s="10">
        <f t="shared" ref="L131:L194" si="26">+K131</f>
        <v>0</v>
      </c>
      <c r="M131" s="10">
        <f t="shared" si="21"/>
        <v>90.5</v>
      </c>
    </row>
    <row r="132" spans="7:13" ht="17.25" customHeight="1" x14ac:dyDescent="0.25">
      <c r="G132" s="2" t="str">
        <f t="shared" si="22"/>
        <v>Mon</v>
      </c>
      <c r="H132" s="8">
        <f t="shared" ref="H132:H195" si="27">+H131+1</f>
        <v>46153</v>
      </c>
      <c r="I132" s="6">
        <f t="shared" si="23"/>
        <v>0</v>
      </c>
      <c r="J132" s="6">
        <f t="shared" si="25"/>
        <v>2</v>
      </c>
      <c r="K132" s="9">
        <f t="shared" si="24"/>
        <v>1</v>
      </c>
      <c r="L132" s="10">
        <f t="shared" si="26"/>
        <v>1</v>
      </c>
      <c r="M132" s="10">
        <f t="shared" ref="M132:M195" si="28">+L132+M131</f>
        <v>91.5</v>
      </c>
    </row>
    <row r="133" spans="7:13" ht="17.25" customHeight="1" x14ac:dyDescent="0.25">
      <c r="G133" s="2" t="str">
        <f t="shared" si="22"/>
        <v>Tue</v>
      </c>
      <c r="H133" s="8">
        <f t="shared" si="27"/>
        <v>46154</v>
      </c>
      <c r="I133" s="6">
        <f t="shared" si="23"/>
        <v>0</v>
      </c>
      <c r="J133" s="6">
        <f t="shared" si="25"/>
        <v>3</v>
      </c>
      <c r="K133" s="9">
        <f t="shared" si="24"/>
        <v>1</v>
      </c>
      <c r="L133" s="10">
        <f t="shared" si="26"/>
        <v>1</v>
      </c>
      <c r="M133" s="10">
        <f t="shared" si="28"/>
        <v>92.5</v>
      </c>
    </row>
    <row r="134" spans="7:13" ht="17.25" customHeight="1" x14ac:dyDescent="0.25">
      <c r="G134" s="2" t="str">
        <f t="shared" si="22"/>
        <v>Wed</v>
      </c>
      <c r="H134" s="8">
        <f t="shared" si="27"/>
        <v>46155</v>
      </c>
      <c r="I134" s="6">
        <f t="shared" si="23"/>
        <v>0</v>
      </c>
      <c r="J134" s="6">
        <f t="shared" si="25"/>
        <v>4</v>
      </c>
      <c r="K134" s="9">
        <f t="shared" si="24"/>
        <v>1</v>
      </c>
      <c r="L134" s="10">
        <f t="shared" si="26"/>
        <v>1</v>
      </c>
      <c r="M134" s="10">
        <f t="shared" si="28"/>
        <v>93.5</v>
      </c>
    </row>
    <row r="135" spans="7:13" ht="17.25" customHeight="1" x14ac:dyDescent="0.25">
      <c r="G135" s="2" t="str">
        <f t="shared" si="22"/>
        <v>Thu</v>
      </c>
      <c r="H135" s="8">
        <f t="shared" si="27"/>
        <v>46156</v>
      </c>
      <c r="I135" s="6">
        <f t="shared" si="23"/>
        <v>0</v>
      </c>
      <c r="J135" s="6">
        <f t="shared" si="25"/>
        <v>5</v>
      </c>
      <c r="K135" s="9">
        <f t="shared" si="24"/>
        <v>1</v>
      </c>
      <c r="L135" s="10">
        <f t="shared" si="26"/>
        <v>1</v>
      </c>
      <c r="M135" s="10">
        <f t="shared" si="28"/>
        <v>94.5</v>
      </c>
    </row>
    <row r="136" spans="7:13" ht="17.25" customHeight="1" x14ac:dyDescent="0.25">
      <c r="G136" s="2" t="str">
        <f t="shared" si="22"/>
        <v>Fri</v>
      </c>
      <c r="H136" s="8">
        <f t="shared" si="27"/>
        <v>46157</v>
      </c>
      <c r="I136" s="6">
        <f t="shared" si="23"/>
        <v>0</v>
      </c>
      <c r="J136" s="6">
        <f t="shared" si="25"/>
        <v>6</v>
      </c>
      <c r="K136" s="9">
        <f t="shared" si="24"/>
        <v>1</v>
      </c>
      <c r="L136" s="10">
        <f t="shared" si="26"/>
        <v>1</v>
      </c>
      <c r="M136" s="10">
        <f t="shared" si="28"/>
        <v>95.5</v>
      </c>
    </row>
    <row r="137" spans="7:13" ht="17.25" customHeight="1" x14ac:dyDescent="0.25">
      <c r="G137" s="2" t="str">
        <f t="shared" si="22"/>
        <v>Sat</v>
      </c>
      <c r="H137" s="8">
        <f t="shared" si="27"/>
        <v>46158</v>
      </c>
      <c r="I137" s="6">
        <f t="shared" si="23"/>
        <v>0</v>
      </c>
      <c r="J137" s="6">
        <f t="shared" si="25"/>
        <v>7</v>
      </c>
      <c r="K137" s="9">
        <f t="shared" si="24"/>
        <v>0</v>
      </c>
      <c r="L137" s="10">
        <f t="shared" si="26"/>
        <v>0</v>
      </c>
      <c r="M137" s="10">
        <f t="shared" si="28"/>
        <v>95.5</v>
      </c>
    </row>
    <row r="138" spans="7:13" ht="17.25" customHeight="1" x14ac:dyDescent="0.25">
      <c r="G138" s="2" t="str">
        <f t="shared" si="22"/>
        <v>Sun</v>
      </c>
      <c r="H138" s="8">
        <f t="shared" si="27"/>
        <v>46159</v>
      </c>
      <c r="I138" s="6">
        <f t="shared" si="23"/>
        <v>0</v>
      </c>
      <c r="J138" s="6">
        <f t="shared" si="25"/>
        <v>1</v>
      </c>
      <c r="K138" s="9">
        <f t="shared" si="24"/>
        <v>0</v>
      </c>
      <c r="L138" s="10">
        <f t="shared" si="26"/>
        <v>0</v>
      </c>
      <c r="M138" s="10">
        <f t="shared" si="28"/>
        <v>95.5</v>
      </c>
    </row>
    <row r="139" spans="7:13" ht="17.25" customHeight="1" x14ac:dyDescent="0.25">
      <c r="G139" s="2" t="str">
        <f t="shared" si="22"/>
        <v>Mon</v>
      </c>
      <c r="H139" s="8">
        <f t="shared" si="27"/>
        <v>46160</v>
      </c>
      <c r="I139" s="6">
        <f t="shared" si="23"/>
        <v>0</v>
      </c>
      <c r="J139" s="6">
        <f t="shared" si="25"/>
        <v>2</v>
      </c>
      <c r="K139" s="9">
        <f t="shared" si="24"/>
        <v>1</v>
      </c>
      <c r="L139" s="10">
        <f t="shared" si="26"/>
        <v>1</v>
      </c>
      <c r="M139" s="10">
        <f t="shared" si="28"/>
        <v>96.5</v>
      </c>
    </row>
    <row r="140" spans="7:13" ht="17.25" customHeight="1" x14ac:dyDescent="0.25">
      <c r="G140" s="2" t="str">
        <f t="shared" si="22"/>
        <v>Tue</v>
      </c>
      <c r="H140" s="8">
        <f t="shared" si="27"/>
        <v>46161</v>
      </c>
      <c r="I140" s="6">
        <f t="shared" si="23"/>
        <v>0</v>
      </c>
      <c r="J140" s="6">
        <f t="shared" si="25"/>
        <v>3</v>
      </c>
      <c r="K140" s="9">
        <f t="shared" si="24"/>
        <v>1</v>
      </c>
      <c r="L140" s="10">
        <f t="shared" si="26"/>
        <v>1</v>
      </c>
      <c r="M140" s="10">
        <f t="shared" si="28"/>
        <v>97.5</v>
      </c>
    </row>
    <row r="141" spans="7:13" ht="17.25" customHeight="1" x14ac:dyDescent="0.25">
      <c r="G141" s="2" t="str">
        <f t="shared" si="22"/>
        <v>Wed</v>
      </c>
      <c r="H141" s="8">
        <f t="shared" si="27"/>
        <v>46162</v>
      </c>
      <c r="I141" s="6">
        <f t="shared" si="23"/>
        <v>0</v>
      </c>
      <c r="J141" s="6">
        <f t="shared" si="25"/>
        <v>4</v>
      </c>
      <c r="K141" s="9">
        <f t="shared" si="24"/>
        <v>1</v>
      </c>
      <c r="L141" s="10">
        <f t="shared" si="26"/>
        <v>1</v>
      </c>
      <c r="M141" s="10">
        <f t="shared" si="28"/>
        <v>98.5</v>
      </c>
    </row>
    <row r="142" spans="7:13" ht="17.25" customHeight="1" x14ac:dyDescent="0.25">
      <c r="G142" s="2" t="str">
        <f t="shared" si="22"/>
        <v>Thu</v>
      </c>
      <c r="H142" s="8">
        <f t="shared" si="27"/>
        <v>46163</v>
      </c>
      <c r="I142" s="6">
        <f t="shared" si="23"/>
        <v>0</v>
      </c>
      <c r="J142" s="6">
        <f t="shared" si="25"/>
        <v>5</v>
      </c>
      <c r="K142" s="9">
        <f t="shared" si="24"/>
        <v>1</v>
      </c>
      <c r="L142" s="10">
        <f t="shared" si="26"/>
        <v>1</v>
      </c>
      <c r="M142" s="10">
        <f t="shared" si="28"/>
        <v>99.5</v>
      </c>
    </row>
    <row r="143" spans="7:13" ht="17.25" customHeight="1" x14ac:dyDescent="0.25">
      <c r="G143" s="2" t="str">
        <f t="shared" si="22"/>
        <v>Fri</v>
      </c>
      <c r="H143" s="8">
        <f t="shared" si="27"/>
        <v>46164</v>
      </c>
      <c r="I143" s="6">
        <f t="shared" si="23"/>
        <v>0</v>
      </c>
      <c r="J143" s="6">
        <f t="shared" si="25"/>
        <v>6</v>
      </c>
      <c r="K143" s="9">
        <f t="shared" si="24"/>
        <v>1</v>
      </c>
      <c r="L143" s="10">
        <f t="shared" si="26"/>
        <v>1</v>
      </c>
      <c r="M143" s="10">
        <f t="shared" si="28"/>
        <v>100.5</v>
      </c>
    </row>
    <row r="144" spans="7:13" ht="17.25" customHeight="1" x14ac:dyDescent="0.25">
      <c r="G144" s="2" t="str">
        <f t="shared" si="22"/>
        <v>Sat</v>
      </c>
      <c r="H144" s="8">
        <f t="shared" si="27"/>
        <v>46165</v>
      </c>
      <c r="I144" s="6">
        <f t="shared" si="23"/>
        <v>0</v>
      </c>
      <c r="J144" s="6">
        <f t="shared" si="25"/>
        <v>7</v>
      </c>
      <c r="K144" s="9">
        <f t="shared" si="24"/>
        <v>0</v>
      </c>
      <c r="L144" s="10">
        <f t="shared" si="26"/>
        <v>0</v>
      </c>
      <c r="M144" s="10">
        <f t="shared" si="28"/>
        <v>100.5</v>
      </c>
    </row>
    <row r="145" spans="7:13" ht="17.25" customHeight="1" x14ac:dyDescent="0.25">
      <c r="G145" s="2" t="str">
        <f t="shared" si="22"/>
        <v>Sun</v>
      </c>
      <c r="H145" s="8">
        <f t="shared" si="27"/>
        <v>46166</v>
      </c>
      <c r="I145" s="6">
        <f t="shared" si="23"/>
        <v>0</v>
      </c>
      <c r="J145" s="6">
        <f t="shared" si="25"/>
        <v>1</v>
      </c>
      <c r="K145" s="9">
        <f t="shared" si="24"/>
        <v>0</v>
      </c>
      <c r="L145" s="10">
        <f t="shared" si="26"/>
        <v>0</v>
      </c>
      <c r="M145" s="10">
        <f t="shared" si="28"/>
        <v>100.5</v>
      </c>
    </row>
    <row r="146" spans="7:13" ht="17.25" customHeight="1" x14ac:dyDescent="0.25">
      <c r="G146" s="2" t="str">
        <f t="shared" si="22"/>
        <v>Mon</v>
      </c>
      <c r="H146" s="8">
        <f t="shared" si="27"/>
        <v>46167</v>
      </c>
      <c r="I146" s="6">
        <f t="shared" si="23"/>
        <v>0</v>
      </c>
      <c r="J146" s="6">
        <f t="shared" si="25"/>
        <v>2</v>
      </c>
      <c r="K146" s="9">
        <f t="shared" si="24"/>
        <v>1</v>
      </c>
      <c r="L146" s="10">
        <f t="shared" si="26"/>
        <v>1</v>
      </c>
      <c r="M146" s="10">
        <f t="shared" si="28"/>
        <v>101.5</v>
      </c>
    </row>
    <row r="147" spans="7:13" ht="17.25" customHeight="1" x14ac:dyDescent="0.25">
      <c r="G147" s="2" t="str">
        <f t="shared" si="22"/>
        <v>Tue</v>
      </c>
      <c r="H147" s="8">
        <f t="shared" si="27"/>
        <v>46168</v>
      </c>
      <c r="I147" s="6">
        <f t="shared" si="23"/>
        <v>0</v>
      </c>
      <c r="J147" s="6">
        <f t="shared" si="25"/>
        <v>3</v>
      </c>
      <c r="K147" s="9">
        <f t="shared" si="24"/>
        <v>1</v>
      </c>
      <c r="L147" s="10">
        <f t="shared" si="26"/>
        <v>1</v>
      </c>
      <c r="M147" s="10">
        <f t="shared" si="28"/>
        <v>102.5</v>
      </c>
    </row>
    <row r="148" spans="7:13" ht="17.25" customHeight="1" x14ac:dyDescent="0.25">
      <c r="G148" s="2" t="str">
        <f t="shared" si="22"/>
        <v>Wed</v>
      </c>
      <c r="H148" s="8">
        <f t="shared" si="27"/>
        <v>46169</v>
      </c>
      <c r="I148" s="6">
        <f t="shared" si="23"/>
        <v>0</v>
      </c>
      <c r="J148" s="6">
        <f t="shared" si="25"/>
        <v>4</v>
      </c>
      <c r="K148" s="9">
        <f t="shared" si="24"/>
        <v>1</v>
      </c>
      <c r="L148" s="10">
        <f t="shared" si="26"/>
        <v>1</v>
      </c>
      <c r="M148" s="10">
        <f t="shared" si="28"/>
        <v>103.5</v>
      </c>
    </row>
    <row r="149" spans="7:13" ht="17.25" customHeight="1" x14ac:dyDescent="0.25">
      <c r="G149" s="2" t="str">
        <f t="shared" si="22"/>
        <v>Thu</v>
      </c>
      <c r="H149" s="8">
        <f t="shared" si="27"/>
        <v>46170</v>
      </c>
      <c r="I149" s="6">
        <f t="shared" si="23"/>
        <v>1</v>
      </c>
      <c r="J149" s="6">
        <f t="shared" si="25"/>
        <v>5</v>
      </c>
      <c r="K149" s="9">
        <f t="shared" si="24"/>
        <v>0.5</v>
      </c>
      <c r="L149" s="10">
        <f t="shared" si="26"/>
        <v>0.5</v>
      </c>
      <c r="M149" s="10">
        <f t="shared" si="28"/>
        <v>104</v>
      </c>
    </row>
    <row r="150" spans="7:13" ht="17.25" customHeight="1" x14ac:dyDescent="0.25">
      <c r="G150" s="2" t="str">
        <f t="shared" si="22"/>
        <v>Fri</v>
      </c>
      <c r="H150" s="8">
        <f t="shared" si="27"/>
        <v>46171</v>
      </c>
      <c r="I150" s="6">
        <f t="shared" si="23"/>
        <v>0</v>
      </c>
      <c r="J150" s="6">
        <f t="shared" si="25"/>
        <v>6</v>
      </c>
      <c r="K150" s="9">
        <f t="shared" si="24"/>
        <v>1</v>
      </c>
      <c r="L150" s="10">
        <f t="shared" si="26"/>
        <v>1</v>
      </c>
      <c r="M150" s="10">
        <f t="shared" si="28"/>
        <v>105</v>
      </c>
    </row>
    <row r="151" spans="7:13" ht="17.25" customHeight="1" x14ac:dyDescent="0.25">
      <c r="G151" s="2" t="str">
        <f t="shared" si="22"/>
        <v>Sat</v>
      </c>
      <c r="H151" s="8">
        <f t="shared" si="27"/>
        <v>46172</v>
      </c>
      <c r="I151" s="6">
        <f t="shared" si="23"/>
        <v>0</v>
      </c>
      <c r="J151" s="6">
        <f t="shared" si="25"/>
        <v>7</v>
      </c>
      <c r="K151" s="9">
        <f t="shared" si="24"/>
        <v>0</v>
      </c>
      <c r="L151" s="10">
        <f t="shared" si="26"/>
        <v>0</v>
      </c>
      <c r="M151" s="10">
        <f t="shared" si="28"/>
        <v>105</v>
      </c>
    </row>
    <row r="152" spans="7:13" ht="17.25" customHeight="1" x14ac:dyDescent="0.25">
      <c r="G152" s="2" t="str">
        <f t="shared" si="22"/>
        <v>Sun</v>
      </c>
      <c r="H152" s="8">
        <f t="shared" si="27"/>
        <v>46173</v>
      </c>
      <c r="I152" s="6">
        <f t="shared" si="23"/>
        <v>0</v>
      </c>
      <c r="J152" s="6">
        <f t="shared" si="25"/>
        <v>1</v>
      </c>
      <c r="K152" s="9">
        <f t="shared" si="24"/>
        <v>0</v>
      </c>
      <c r="L152" s="10">
        <f t="shared" si="26"/>
        <v>0</v>
      </c>
      <c r="M152" s="10">
        <f t="shared" si="28"/>
        <v>105</v>
      </c>
    </row>
    <row r="153" spans="7:13" ht="17.25" customHeight="1" x14ac:dyDescent="0.25">
      <c r="G153" s="2" t="str">
        <f t="shared" si="22"/>
        <v>Mon</v>
      </c>
      <c r="H153" s="8">
        <f t="shared" si="27"/>
        <v>46174</v>
      </c>
      <c r="I153" s="6">
        <f t="shared" si="23"/>
        <v>0</v>
      </c>
      <c r="J153" s="6">
        <f t="shared" si="25"/>
        <v>2</v>
      </c>
      <c r="K153" s="9">
        <f t="shared" si="24"/>
        <v>1</v>
      </c>
      <c r="L153" s="10">
        <f t="shared" si="26"/>
        <v>1</v>
      </c>
      <c r="M153" s="10">
        <f t="shared" si="28"/>
        <v>106</v>
      </c>
    </row>
    <row r="154" spans="7:13" ht="17.25" customHeight="1" x14ac:dyDescent="0.25">
      <c r="G154" s="2" t="str">
        <f t="shared" si="22"/>
        <v>Tue</v>
      </c>
      <c r="H154" s="8">
        <f t="shared" si="27"/>
        <v>46175</v>
      </c>
      <c r="I154" s="6">
        <f t="shared" si="23"/>
        <v>0</v>
      </c>
      <c r="J154" s="6">
        <f t="shared" si="25"/>
        <v>3</v>
      </c>
      <c r="K154" s="9">
        <f t="shared" si="24"/>
        <v>1</v>
      </c>
      <c r="L154" s="10">
        <f t="shared" si="26"/>
        <v>1</v>
      </c>
      <c r="M154" s="10">
        <f t="shared" si="28"/>
        <v>107</v>
      </c>
    </row>
    <row r="155" spans="7:13" ht="17.25" customHeight="1" x14ac:dyDescent="0.25">
      <c r="G155" s="2" t="str">
        <f t="shared" si="22"/>
        <v>Wed</v>
      </c>
      <c r="H155" s="8">
        <f t="shared" si="27"/>
        <v>46176</v>
      </c>
      <c r="I155" s="6">
        <f t="shared" si="23"/>
        <v>0</v>
      </c>
      <c r="J155" s="6">
        <f t="shared" si="25"/>
        <v>4</v>
      </c>
      <c r="K155" s="9">
        <f t="shared" si="24"/>
        <v>1</v>
      </c>
      <c r="L155" s="10">
        <f t="shared" si="26"/>
        <v>1</v>
      </c>
      <c r="M155" s="10">
        <f t="shared" si="28"/>
        <v>108</v>
      </c>
    </row>
    <row r="156" spans="7:13" ht="17.25" customHeight="1" x14ac:dyDescent="0.25">
      <c r="G156" s="2" t="str">
        <f t="shared" si="22"/>
        <v>Thu</v>
      </c>
      <c r="H156" s="8">
        <f t="shared" si="27"/>
        <v>46177</v>
      </c>
      <c r="I156" s="6">
        <f t="shared" si="23"/>
        <v>0</v>
      </c>
      <c r="J156" s="6">
        <f t="shared" si="25"/>
        <v>5</v>
      </c>
      <c r="K156" s="9">
        <f t="shared" si="24"/>
        <v>1</v>
      </c>
      <c r="L156" s="10">
        <f t="shared" si="26"/>
        <v>1</v>
      </c>
      <c r="M156" s="10">
        <f t="shared" si="28"/>
        <v>109</v>
      </c>
    </row>
    <row r="157" spans="7:13" ht="17.25" customHeight="1" x14ac:dyDescent="0.25">
      <c r="G157" s="2" t="str">
        <f t="shared" si="22"/>
        <v>Fri</v>
      </c>
      <c r="H157" s="8">
        <f t="shared" si="27"/>
        <v>46178</v>
      </c>
      <c r="I157" s="6">
        <f t="shared" si="23"/>
        <v>0</v>
      </c>
      <c r="J157" s="6">
        <f t="shared" si="25"/>
        <v>6</v>
      </c>
      <c r="K157" s="9">
        <f t="shared" si="24"/>
        <v>1</v>
      </c>
      <c r="L157" s="10">
        <f t="shared" si="26"/>
        <v>1</v>
      </c>
      <c r="M157" s="10">
        <f t="shared" si="28"/>
        <v>110</v>
      </c>
    </row>
    <row r="158" spans="7:13" ht="17.25" customHeight="1" x14ac:dyDescent="0.25">
      <c r="G158" s="2" t="str">
        <f t="shared" si="22"/>
        <v>Sat</v>
      </c>
      <c r="H158" s="8">
        <f t="shared" si="27"/>
        <v>46179</v>
      </c>
      <c r="I158" s="6">
        <f t="shared" si="23"/>
        <v>0</v>
      </c>
      <c r="J158" s="6">
        <f t="shared" si="25"/>
        <v>7</v>
      </c>
      <c r="K158" s="9">
        <f t="shared" si="24"/>
        <v>0</v>
      </c>
      <c r="L158" s="10">
        <f t="shared" si="26"/>
        <v>0</v>
      </c>
      <c r="M158" s="10">
        <f t="shared" si="28"/>
        <v>110</v>
      </c>
    </row>
    <row r="159" spans="7:13" ht="17.25" customHeight="1" x14ac:dyDescent="0.25">
      <c r="G159" s="2" t="str">
        <f t="shared" si="22"/>
        <v>Sun</v>
      </c>
      <c r="H159" s="8">
        <f t="shared" si="27"/>
        <v>46180</v>
      </c>
      <c r="I159" s="6">
        <f t="shared" si="23"/>
        <v>0</v>
      </c>
      <c r="J159" s="6">
        <f t="shared" si="25"/>
        <v>1</v>
      </c>
      <c r="K159" s="9">
        <f t="shared" si="24"/>
        <v>0</v>
      </c>
      <c r="L159" s="10">
        <f t="shared" si="26"/>
        <v>0</v>
      </c>
      <c r="M159" s="10">
        <f t="shared" si="28"/>
        <v>110</v>
      </c>
    </row>
    <row r="160" spans="7:13" ht="17.25" customHeight="1" x14ac:dyDescent="0.25">
      <c r="G160" s="2" t="str">
        <f t="shared" si="22"/>
        <v>Mon</v>
      </c>
      <c r="H160" s="8">
        <f t="shared" si="27"/>
        <v>46181</v>
      </c>
      <c r="I160" s="6">
        <f t="shared" si="23"/>
        <v>0</v>
      </c>
      <c r="J160" s="6">
        <f t="shared" si="25"/>
        <v>2</v>
      </c>
      <c r="K160" s="9">
        <f t="shared" si="24"/>
        <v>1</v>
      </c>
      <c r="L160" s="10">
        <f t="shared" si="26"/>
        <v>1</v>
      </c>
      <c r="M160" s="10">
        <f t="shared" si="28"/>
        <v>111</v>
      </c>
    </row>
    <row r="161" spans="7:13" ht="17.25" customHeight="1" x14ac:dyDescent="0.25">
      <c r="G161" s="2" t="str">
        <f t="shared" si="22"/>
        <v>Tue</v>
      </c>
      <c r="H161" s="8">
        <f t="shared" si="27"/>
        <v>46182</v>
      </c>
      <c r="I161" s="6">
        <f t="shared" si="23"/>
        <v>0</v>
      </c>
      <c r="J161" s="6">
        <f t="shared" si="25"/>
        <v>3</v>
      </c>
      <c r="K161" s="9">
        <f t="shared" si="24"/>
        <v>1</v>
      </c>
      <c r="L161" s="10">
        <f t="shared" si="26"/>
        <v>1</v>
      </c>
      <c r="M161" s="10">
        <f t="shared" si="28"/>
        <v>112</v>
      </c>
    </row>
    <row r="162" spans="7:13" ht="17.25" customHeight="1" x14ac:dyDescent="0.25">
      <c r="G162" s="2" t="str">
        <f t="shared" si="22"/>
        <v>Wed</v>
      </c>
      <c r="H162" s="8">
        <f t="shared" si="27"/>
        <v>46183</v>
      </c>
      <c r="I162" s="6">
        <f t="shared" si="23"/>
        <v>0</v>
      </c>
      <c r="J162" s="6">
        <f t="shared" si="25"/>
        <v>4</v>
      </c>
      <c r="K162" s="9">
        <f t="shared" si="24"/>
        <v>1</v>
      </c>
      <c r="L162" s="10">
        <f t="shared" si="26"/>
        <v>1</v>
      </c>
      <c r="M162" s="10">
        <f t="shared" si="28"/>
        <v>113</v>
      </c>
    </row>
    <row r="163" spans="7:13" ht="17.25" customHeight="1" x14ac:dyDescent="0.25">
      <c r="G163" s="2" t="str">
        <f t="shared" si="22"/>
        <v>Thu</v>
      </c>
      <c r="H163" s="8">
        <f t="shared" si="27"/>
        <v>46184</v>
      </c>
      <c r="I163" s="6">
        <f t="shared" si="23"/>
        <v>0</v>
      </c>
      <c r="J163" s="6">
        <f t="shared" si="25"/>
        <v>5</v>
      </c>
      <c r="K163" s="9">
        <f t="shared" si="24"/>
        <v>1</v>
      </c>
      <c r="L163" s="10">
        <f t="shared" si="26"/>
        <v>1</v>
      </c>
      <c r="M163" s="10">
        <f t="shared" si="28"/>
        <v>114</v>
      </c>
    </row>
    <row r="164" spans="7:13" ht="17.25" customHeight="1" x14ac:dyDescent="0.25">
      <c r="G164" s="2" t="str">
        <f t="shared" si="22"/>
        <v>Fri</v>
      </c>
      <c r="H164" s="8">
        <f t="shared" si="27"/>
        <v>46185</v>
      </c>
      <c r="I164" s="6">
        <f t="shared" si="23"/>
        <v>0</v>
      </c>
      <c r="J164" s="6">
        <f t="shared" si="25"/>
        <v>6</v>
      </c>
      <c r="K164" s="9">
        <f t="shared" si="24"/>
        <v>1</v>
      </c>
      <c r="L164" s="10">
        <f t="shared" si="26"/>
        <v>1</v>
      </c>
      <c r="M164" s="10">
        <f t="shared" si="28"/>
        <v>115</v>
      </c>
    </row>
    <row r="165" spans="7:13" ht="17.25" customHeight="1" x14ac:dyDescent="0.25">
      <c r="G165" s="2" t="str">
        <f t="shared" si="22"/>
        <v>Sat</v>
      </c>
      <c r="H165" s="8">
        <f t="shared" si="27"/>
        <v>46186</v>
      </c>
      <c r="I165" s="6">
        <f t="shared" si="23"/>
        <v>0</v>
      </c>
      <c r="J165" s="6">
        <f t="shared" si="25"/>
        <v>7</v>
      </c>
      <c r="K165" s="9">
        <f t="shared" si="24"/>
        <v>0</v>
      </c>
      <c r="L165" s="10">
        <f t="shared" si="26"/>
        <v>0</v>
      </c>
      <c r="M165" s="10">
        <f t="shared" si="28"/>
        <v>115</v>
      </c>
    </row>
    <row r="166" spans="7:13" ht="17.25" customHeight="1" x14ac:dyDescent="0.25">
      <c r="G166" s="2" t="str">
        <f t="shared" si="22"/>
        <v>Sun</v>
      </c>
      <c r="H166" s="8">
        <f t="shared" si="27"/>
        <v>46187</v>
      </c>
      <c r="I166" s="6">
        <f t="shared" si="23"/>
        <v>0</v>
      </c>
      <c r="J166" s="6">
        <f t="shared" si="25"/>
        <v>1</v>
      </c>
      <c r="K166" s="9">
        <f t="shared" si="24"/>
        <v>0</v>
      </c>
      <c r="L166" s="10">
        <f t="shared" si="26"/>
        <v>0</v>
      </c>
      <c r="M166" s="10">
        <f t="shared" si="28"/>
        <v>115</v>
      </c>
    </row>
    <row r="167" spans="7:13" ht="17.25" customHeight="1" x14ac:dyDescent="0.25">
      <c r="G167" s="2" t="str">
        <f t="shared" si="22"/>
        <v>Mon</v>
      </c>
      <c r="H167" s="8">
        <f t="shared" si="27"/>
        <v>46188</v>
      </c>
      <c r="I167" s="6">
        <f t="shared" si="23"/>
        <v>0</v>
      </c>
      <c r="J167" s="6">
        <f t="shared" si="25"/>
        <v>2</v>
      </c>
      <c r="K167" s="9">
        <f t="shared" si="24"/>
        <v>1</v>
      </c>
      <c r="L167" s="10">
        <f t="shared" si="26"/>
        <v>1</v>
      </c>
      <c r="M167" s="10">
        <f t="shared" si="28"/>
        <v>116</v>
      </c>
    </row>
    <row r="168" spans="7:13" ht="17.25" customHeight="1" x14ac:dyDescent="0.25">
      <c r="G168" s="2" t="str">
        <f t="shared" si="22"/>
        <v>Tue</v>
      </c>
      <c r="H168" s="8">
        <f t="shared" si="27"/>
        <v>46189</v>
      </c>
      <c r="I168" s="6">
        <f t="shared" si="23"/>
        <v>0</v>
      </c>
      <c r="J168" s="6">
        <f t="shared" si="25"/>
        <v>3</v>
      </c>
      <c r="K168" s="9">
        <f t="shared" si="24"/>
        <v>1</v>
      </c>
      <c r="L168" s="10">
        <f t="shared" si="26"/>
        <v>1</v>
      </c>
      <c r="M168" s="10">
        <f t="shared" si="28"/>
        <v>117</v>
      </c>
    </row>
    <row r="169" spans="7:13" ht="17.25" customHeight="1" x14ac:dyDescent="0.25">
      <c r="G169" s="2" t="str">
        <f t="shared" si="22"/>
        <v>Wed</v>
      </c>
      <c r="H169" s="8">
        <f t="shared" si="27"/>
        <v>46190</v>
      </c>
      <c r="I169" s="6">
        <f t="shared" si="23"/>
        <v>0</v>
      </c>
      <c r="J169" s="6">
        <f t="shared" si="25"/>
        <v>4</v>
      </c>
      <c r="K169" s="9">
        <f t="shared" si="24"/>
        <v>1</v>
      </c>
      <c r="L169" s="10">
        <f t="shared" si="26"/>
        <v>1</v>
      </c>
      <c r="M169" s="10">
        <f t="shared" si="28"/>
        <v>118</v>
      </c>
    </row>
    <row r="170" spans="7:13" ht="17.25" customHeight="1" x14ac:dyDescent="0.25">
      <c r="G170" s="2" t="str">
        <f t="shared" si="22"/>
        <v>Thu</v>
      </c>
      <c r="H170" s="8">
        <f t="shared" si="27"/>
        <v>46191</v>
      </c>
      <c r="I170" s="6">
        <f t="shared" si="23"/>
        <v>0</v>
      </c>
      <c r="J170" s="6">
        <f t="shared" si="25"/>
        <v>5</v>
      </c>
      <c r="K170" s="9">
        <f t="shared" si="24"/>
        <v>1</v>
      </c>
      <c r="L170" s="10">
        <f t="shared" si="26"/>
        <v>1</v>
      </c>
      <c r="M170" s="10">
        <f t="shared" si="28"/>
        <v>119</v>
      </c>
    </row>
    <row r="171" spans="7:13" ht="17.25" customHeight="1" x14ac:dyDescent="0.25">
      <c r="G171" s="2" t="str">
        <f t="shared" si="22"/>
        <v>Fri</v>
      </c>
      <c r="H171" s="8">
        <f t="shared" si="27"/>
        <v>46192</v>
      </c>
      <c r="I171" s="6">
        <f t="shared" si="23"/>
        <v>0</v>
      </c>
      <c r="J171" s="6">
        <f t="shared" si="25"/>
        <v>6</v>
      </c>
      <c r="K171" s="9">
        <f t="shared" si="24"/>
        <v>1</v>
      </c>
      <c r="L171" s="10">
        <f t="shared" si="26"/>
        <v>1</v>
      </c>
      <c r="M171" s="10">
        <f t="shared" si="28"/>
        <v>120</v>
      </c>
    </row>
    <row r="172" spans="7:13" ht="17.25" customHeight="1" x14ac:dyDescent="0.25">
      <c r="G172" s="2" t="str">
        <f t="shared" si="22"/>
        <v>Sat</v>
      </c>
      <c r="H172" s="8">
        <f t="shared" si="27"/>
        <v>46193</v>
      </c>
      <c r="I172" s="6">
        <f t="shared" si="23"/>
        <v>0</v>
      </c>
      <c r="J172" s="6">
        <f t="shared" si="25"/>
        <v>7</v>
      </c>
      <c r="K172" s="9">
        <f t="shared" si="24"/>
        <v>0</v>
      </c>
      <c r="L172" s="10">
        <f t="shared" si="26"/>
        <v>0</v>
      </c>
      <c r="M172" s="10">
        <f t="shared" si="28"/>
        <v>120</v>
      </c>
    </row>
    <row r="173" spans="7:13" ht="17.25" customHeight="1" x14ac:dyDescent="0.25">
      <c r="G173" s="2" t="str">
        <f t="shared" si="22"/>
        <v>Sun</v>
      </c>
      <c r="H173" s="8">
        <f t="shared" si="27"/>
        <v>46194</v>
      </c>
      <c r="I173" s="6">
        <f t="shared" si="23"/>
        <v>0</v>
      </c>
      <c r="J173" s="6">
        <f t="shared" si="25"/>
        <v>1</v>
      </c>
      <c r="K173" s="9">
        <f t="shared" si="24"/>
        <v>0</v>
      </c>
      <c r="L173" s="10">
        <f t="shared" si="26"/>
        <v>0</v>
      </c>
      <c r="M173" s="10">
        <f t="shared" si="28"/>
        <v>120</v>
      </c>
    </row>
    <row r="174" spans="7:13" ht="17.25" customHeight="1" x14ac:dyDescent="0.25">
      <c r="G174" s="2" t="str">
        <f t="shared" si="22"/>
        <v>Mon</v>
      </c>
      <c r="H174" s="8">
        <f t="shared" si="27"/>
        <v>46195</v>
      </c>
      <c r="I174" s="6">
        <f t="shared" si="23"/>
        <v>0</v>
      </c>
      <c r="J174" s="6">
        <f t="shared" si="25"/>
        <v>2</v>
      </c>
      <c r="K174" s="9">
        <f t="shared" si="24"/>
        <v>1</v>
      </c>
      <c r="L174" s="10">
        <f t="shared" si="26"/>
        <v>1</v>
      </c>
      <c r="M174" s="10">
        <f t="shared" si="28"/>
        <v>121</v>
      </c>
    </row>
    <row r="175" spans="7:13" ht="17.25" customHeight="1" x14ac:dyDescent="0.25">
      <c r="G175" s="2" t="str">
        <f t="shared" si="22"/>
        <v>Tue</v>
      </c>
      <c r="H175" s="8">
        <f t="shared" si="27"/>
        <v>46196</v>
      </c>
      <c r="I175" s="6">
        <f t="shared" si="23"/>
        <v>0</v>
      </c>
      <c r="J175" s="6">
        <f t="shared" si="25"/>
        <v>3</v>
      </c>
      <c r="K175" s="9">
        <f t="shared" si="24"/>
        <v>1</v>
      </c>
      <c r="L175" s="10">
        <f t="shared" si="26"/>
        <v>1</v>
      </c>
      <c r="M175" s="10">
        <f t="shared" si="28"/>
        <v>122</v>
      </c>
    </row>
    <row r="176" spans="7:13" ht="17.25" customHeight="1" x14ac:dyDescent="0.25">
      <c r="G176" s="2" t="str">
        <f t="shared" si="22"/>
        <v>Wed</v>
      </c>
      <c r="H176" s="8">
        <f t="shared" si="27"/>
        <v>46197</v>
      </c>
      <c r="I176" s="6">
        <f t="shared" si="23"/>
        <v>0</v>
      </c>
      <c r="J176" s="6">
        <f t="shared" si="25"/>
        <v>4</v>
      </c>
      <c r="K176" s="9">
        <f t="shared" si="24"/>
        <v>1</v>
      </c>
      <c r="L176" s="10">
        <f t="shared" si="26"/>
        <v>1</v>
      </c>
      <c r="M176" s="10">
        <f t="shared" si="28"/>
        <v>123</v>
      </c>
    </row>
    <row r="177" spans="7:13" ht="17.25" customHeight="1" x14ac:dyDescent="0.25">
      <c r="G177" s="2" t="str">
        <f t="shared" si="22"/>
        <v>Thu</v>
      </c>
      <c r="H177" s="8">
        <f t="shared" si="27"/>
        <v>46198</v>
      </c>
      <c r="I177" s="6">
        <f t="shared" si="23"/>
        <v>0</v>
      </c>
      <c r="J177" s="6">
        <f t="shared" si="25"/>
        <v>5</v>
      </c>
      <c r="K177" s="9">
        <f t="shared" si="24"/>
        <v>1</v>
      </c>
      <c r="L177" s="10">
        <f t="shared" si="26"/>
        <v>1</v>
      </c>
      <c r="M177" s="10">
        <f t="shared" si="28"/>
        <v>124</v>
      </c>
    </row>
    <row r="178" spans="7:13" ht="17.25" customHeight="1" x14ac:dyDescent="0.25">
      <c r="G178" s="2" t="str">
        <f t="shared" si="22"/>
        <v>Fri</v>
      </c>
      <c r="H178" s="8">
        <f t="shared" si="27"/>
        <v>46199</v>
      </c>
      <c r="I178" s="6">
        <f t="shared" si="23"/>
        <v>1</v>
      </c>
      <c r="J178" s="6">
        <f t="shared" si="25"/>
        <v>6</v>
      </c>
      <c r="K178" s="9">
        <f t="shared" si="24"/>
        <v>0.5</v>
      </c>
      <c r="L178" s="10">
        <f t="shared" si="26"/>
        <v>0.5</v>
      </c>
      <c r="M178" s="10">
        <f t="shared" si="28"/>
        <v>124.5</v>
      </c>
    </row>
    <row r="179" spans="7:13" ht="17.25" customHeight="1" x14ac:dyDescent="0.25">
      <c r="G179" s="2" t="str">
        <f t="shared" si="22"/>
        <v>Sat</v>
      </c>
      <c r="H179" s="8">
        <f t="shared" si="27"/>
        <v>46200</v>
      </c>
      <c r="I179" s="6">
        <f t="shared" si="23"/>
        <v>0</v>
      </c>
      <c r="J179" s="6">
        <f t="shared" si="25"/>
        <v>7</v>
      </c>
      <c r="K179" s="9">
        <f t="shared" si="24"/>
        <v>0</v>
      </c>
      <c r="L179" s="10">
        <f t="shared" si="26"/>
        <v>0</v>
      </c>
      <c r="M179" s="10">
        <f t="shared" si="28"/>
        <v>124.5</v>
      </c>
    </row>
    <row r="180" spans="7:13" ht="17.25" customHeight="1" x14ac:dyDescent="0.25">
      <c r="G180" s="2" t="str">
        <f t="shared" si="22"/>
        <v>Sun</v>
      </c>
      <c r="H180" s="8">
        <f t="shared" si="27"/>
        <v>46201</v>
      </c>
      <c r="I180" s="6">
        <f t="shared" si="23"/>
        <v>0</v>
      </c>
      <c r="J180" s="6">
        <f t="shared" si="25"/>
        <v>1</v>
      </c>
      <c r="K180" s="9">
        <f t="shared" si="24"/>
        <v>0</v>
      </c>
      <c r="L180" s="10">
        <f t="shared" si="26"/>
        <v>0</v>
      </c>
      <c r="M180" s="10">
        <f t="shared" si="28"/>
        <v>124.5</v>
      </c>
    </row>
    <row r="181" spans="7:13" ht="17.25" customHeight="1" x14ac:dyDescent="0.25">
      <c r="G181" s="2" t="str">
        <f t="shared" si="22"/>
        <v>Mon</v>
      </c>
      <c r="H181" s="8">
        <f t="shared" si="27"/>
        <v>46202</v>
      </c>
      <c r="I181" s="6">
        <f t="shared" si="23"/>
        <v>0</v>
      </c>
      <c r="J181" s="6">
        <f t="shared" si="25"/>
        <v>2</v>
      </c>
      <c r="K181" s="9">
        <f t="shared" si="24"/>
        <v>1</v>
      </c>
      <c r="L181" s="10">
        <f t="shared" si="26"/>
        <v>1</v>
      </c>
      <c r="M181" s="10">
        <f t="shared" si="28"/>
        <v>125.5</v>
      </c>
    </row>
    <row r="182" spans="7:13" ht="17.25" customHeight="1" x14ac:dyDescent="0.25">
      <c r="G182" s="2" t="str">
        <f t="shared" si="22"/>
        <v>Tue</v>
      </c>
      <c r="H182" s="8">
        <f t="shared" si="27"/>
        <v>46203</v>
      </c>
      <c r="I182" s="6">
        <f t="shared" si="23"/>
        <v>0</v>
      </c>
      <c r="J182" s="6">
        <f t="shared" si="25"/>
        <v>3</v>
      </c>
      <c r="K182" s="9">
        <f t="shared" si="24"/>
        <v>1</v>
      </c>
      <c r="L182" s="10">
        <f t="shared" si="26"/>
        <v>1</v>
      </c>
      <c r="M182" s="10">
        <f t="shared" si="28"/>
        <v>126.5</v>
      </c>
    </row>
    <row r="183" spans="7:13" ht="17.25" customHeight="1" x14ac:dyDescent="0.25">
      <c r="G183" s="2" t="str">
        <f t="shared" si="22"/>
        <v>Wed</v>
      </c>
      <c r="H183" s="8">
        <f t="shared" si="27"/>
        <v>46204</v>
      </c>
      <c r="I183" s="6">
        <f t="shared" si="23"/>
        <v>0</v>
      </c>
      <c r="J183" s="6">
        <f t="shared" si="25"/>
        <v>4</v>
      </c>
      <c r="K183" s="9">
        <f t="shared" si="24"/>
        <v>1</v>
      </c>
      <c r="L183" s="10">
        <f t="shared" si="26"/>
        <v>1</v>
      </c>
      <c r="M183" s="10">
        <f t="shared" si="28"/>
        <v>127.5</v>
      </c>
    </row>
    <row r="184" spans="7:13" ht="17.25" customHeight="1" x14ac:dyDescent="0.25">
      <c r="G184" s="2" t="str">
        <f t="shared" si="22"/>
        <v>Thu</v>
      </c>
      <c r="H184" s="8">
        <f t="shared" si="27"/>
        <v>46205</v>
      </c>
      <c r="I184" s="6">
        <f t="shared" si="23"/>
        <v>0</v>
      </c>
      <c r="J184" s="6">
        <f t="shared" si="25"/>
        <v>5</v>
      </c>
      <c r="K184" s="9">
        <f t="shared" si="24"/>
        <v>1</v>
      </c>
      <c r="L184" s="10">
        <f t="shared" si="26"/>
        <v>1</v>
      </c>
      <c r="M184" s="10">
        <f t="shared" si="28"/>
        <v>128.5</v>
      </c>
    </row>
    <row r="185" spans="7:13" ht="17.25" customHeight="1" x14ac:dyDescent="0.25">
      <c r="G185" s="2" t="str">
        <f t="shared" si="22"/>
        <v>Fri</v>
      </c>
      <c r="H185" s="8">
        <f t="shared" si="27"/>
        <v>46206</v>
      </c>
      <c r="I185" s="6">
        <f t="shared" si="23"/>
        <v>0</v>
      </c>
      <c r="J185" s="6">
        <f t="shared" si="25"/>
        <v>6</v>
      </c>
      <c r="K185" s="9">
        <f t="shared" si="24"/>
        <v>1</v>
      </c>
      <c r="L185" s="10">
        <f t="shared" si="26"/>
        <v>1</v>
      </c>
      <c r="M185" s="10">
        <f t="shared" si="28"/>
        <v>129.5</v>
      </c>
    </row>
    <row r="186" spans="7:13" ht="17.25" customHeight="1" x14ac:dyDescent="0.25">
      <c r="G186" s="2" t="str">
        <f t="shared" si="22"/>
        <v>Sat</v>
      </c>
      <c r="H186" s="8">
        <f t="shared" si="27"/>
        <v>46207</v>
      </c>
      <c r="I186" s="6">
        <f t="shared" si="23"/>
        <v>0</v>
      </c>
      <c r="J186" s="6">
        <f t="shared" si="25"/>
        <v>7</v>
      </c>
      <c r="K186" s="9">
        <f t="shared" si="24"/>
        <v>0</v>
      </c>
      <c r="L186" s="10">
        <f t="shared" si="26"/>
        <v>0</v>
      </c>
      <c r="M186" s="10">
        <f t="shared" si="28"/>
        <v>129.5</v>
      </c>
    </row>
    <row r="187" spans="7:13" ht="17.25" customHeight="1" x14ac:dyDescent="0.25">
      <c r="G187" s="2" t="str">
        <f t="shared" si="22"/>
        <v>Sun</v>
      </c>
      <c r="H187" s="8">
        <f t="shared" si="27"/>
        <v>46208</v>
      </c>
      <c r="I187" s="6">
        <f t="shared" si="23"/>
        <v>0</v>
      </c>
      <c r="J187" s="6">
        <f t="shared" si="25"/>
        <v>1</v>
      </c>
      <c r="K187" s="9">
        <f t="shared" si="24"/>
        <v>0</v>
      </c>
      <c r="L187" s="10">
        <f t="shared" si="26"/>
        <v>0</v>
      </c>
      <c r="M187" s="10">
        <f t="shared" si="28"/>
        <v>129.5</v>
      </c>
    </row>
    <row r="188" spans="7:13" ht="17.25" customHeight="1" x14ac:dyDescent="0.25">
      <c r="G188" s="2" t="str">
        <f t="shared" si="22"/>
        <v>Mon</v>
      </c>
      <c r="H188" s="8">
        <f t="shared" si="27"/>
        <v>46209</v>
      </c>
      <c r="I188" s="6">
        <f t="shared" si="23"/>
        <v>0</v>
      </c>
      <c r="J188" s="6">
        <f t="shared" si="25"/>
        <v>2</v>
      </c>
      <c r="K188" s="9">
        <f t="shared" si="24"/>
        <v>1</v>
      </c>
      <c r="L188" s="10">
        <f t="shared" si="26"/>
        <v>1</v>
      </c>
      <c r="M188" s="10">
        <f t="shared" si="28"/>
        <v>130.5</v>
      </c>
    </row>
    <row r="189" spans="7:13" ht="17.25" customHeight="1" x14ac:dyDescent="0.25">
      <c r="G189" s="2" t="str">
        <f t="shared" si="22"/>
        <v>Tue</v>
      </c>
      <c r="H189" s="8">
        <f t="shared" si="27"/>
        <v>46210</v>
      </c>
      <c r="I189" s="6">
        <f t="shared" si="23"/>
        <v>0</v>
      </c>
      <c r="J189" s="6">
        <f t="shared" si="25"/>
        <v>3</v>
      </c>
      <c r="K189" s="9">
        <f t="shared" si="24"/>
        <v>1</v>
      </c>
      <c r="L189" s="10">
        <f t="shared" si="26"/>
        <v>1</v>
      </c>
      <c r="M189" s="10">
        <f t="shared" si="28"/>
        <v>131.5</v>
      </c>
    </row>
    <row r="190" spans="7:13" ht="17.25" customHeight="1" x14ac:dyDescent="0.25">
      <c r="G190" s="2" t="str">
        <f t="shared" si="22"/>
        <v>Wed</v>
      </c>
      <c r="H190" s="8">
        <f t="shared" si="27"/>
        <v>46211</v>
      </c>
      <c r="I190" s="6">
        <f t="shared" si="23"/>
        <v>0</v>
      </c>
      <c r="J190" s="6">
        <f t="shared" si="25"/>
        <v>4</v>
      </c>
      <c r="K190" s="9">
        <f t="shared" si="24"/>
        <v>1</v>
      </c>
      <c r="L190" s="10">
        <f t="shared" si="26"/>
        <v>1</v>
      </c>
      <c r="M190" s="10">
        <f t="shared" si="28"/>
        <v>132.5</v>
      </c>
    </row>
    <row r="191" spans="7:13" ht="17.25" customHeight="1" x14ac:dyDescent="0.25">
      <c r="G191" s="2" t="str">
        <f t="shared" si="22"/>
        <v>Thu</v>
      </c>
      <c r="H191" s="8">
        <f t="shared" si="27"/>
        <v>46212</v>
      </c>
      <c r="I191" s="6">
        <f t="shared" si="23"/>
        <v>0</v>
      </c>
      <c r="J191" s="6">
        <f t="shared" si="25"/>
        <v>5</v>
      </c>
      <c r="K191" s="9">
        <f t="shared" si="24"/>
        <v>1</v>
      </c>
      <c r="L191" s="10">
        <f t="shared" si="26"/>
        <v>1</v>
      </c>
      <c r="M191" s="10">
        <f t="shared" si="28"/>
        <v>133.5</v>
      </c>
    </row>
    <row r="192" spans="7:13" ht="17.25" customHeight="1" x14ac:dyDescent="0.25">
      <c r="G192" s="2" t="str">
        <f t="shared" si="22"/>
        <v>Fri</v>
      </c>
      <c r="H192" s="8">
        <f t="shared" si="27"/>
        <v>46213</v>
      </c>
      <c r="I192" s="6">
        <f t="shared" si="23"/>
        <v>0</v>
      </c>
      <c r="J192" s="6">
        <f t="shared" si="25"/>
        <v>6</v>
      </c>
      <c r="K192" s="9">
        <f t="shared" si="24"/>
        <v>1</v>
      </c>
      <c r="L192" s="10">
        <f t="shared" si="26"/>
        <v>1</v>
      </c>
      <c r="M192" s="10">
        <f t="shared" si="28"/>
        <v>134.5</v>
      </c>
    </row>
    <row r="193" spans="7:13" ht="17.25" customHeight="1" x14ac:dyDescent="0.25">
      <c r="G193" s="2" t="str">
        <f t="shared" si="22"/>
        <v>Sat</v>
      </c>
      <c r="H193" s="8">
        <f t="shared" si="27"/>
        <v>46214</v>
      </c>
      <c r="I193" s="6">
        <f t="shared" si="23"/>
        <v>0</v>
      </c>
      <c r="J193" s="6">
        <f t="shared" si="25"/>
        <v>7</v>
      </c>
      <c r="K193" s="9">
        <f t="shared" si="24"/>
        <v>0</v>
      </c>
      <c r="L193" s="10">
        <f t="shared" si="26"/>
        <v>0</v>
      </c>
      <c r="M193" s="10">
        <f t="shared" si="28"/>
        <v>134.5</v>
      </c>
    </row>
    <row r="194" spans="7:13" ht="17.25" customHeight="1" x14ac:dyDescent="0.25">
      <c r="G194" s="2" t="str">
        <f t="shared" ref="G194:G257" si="29">TEXT(H194,"ddd")</f>
        <v>Sun</v>
      </c>
      <c r="H194" s="8">
        <f t="shared" si="27"/>
        <v>46215</v>
      </c>
      <c r="I194" s="6">
        <f t="shared" ref="I194:I257" si="30">IF(ISNUMBER(VLOOKUP(H194,$T$3:$X$18,5,FALSE)),1,0)</f>
        <v>0</v>
      </c>
      <c r="J194" s="6">
        <f t="shared" si="25"/>
        <v>1</v>
      </c>
      <c r="K194" s="9">
        <f t="shared" ref="K194:K257" si="31">IF(I194=1,$B$2,IF(AND(J194&lt;7,J194&gt;1),1,0))</f>
        <v>0</v>
      </c>
      <c r="L194" s="10">
        <f t="shared" si="26"/>
        <v>0</v>
      </c>
      <c r="M194" s="10">
        <f t="shared" si="28"/>
        <v>134.5</v>
      </c>
    </row>
    <row r="195" spans="7:13" ht="17.25" customHeight="1" x14ac:dyDescent="0.25">
      <c r="G195" s="2" t="str">
        <f t="shared" si="29"/>
        <v>Mon</v>
      </c>
      <c r="H195" s="8">
        <f t="shared" si="27"/>
        <v>46216</v>
      </c>
      <c r="I195" s="6">
        <f t="shared" si="30"/>
        <v>0</v>
      </c>
      <c r="J195" s="6">
        <f t="shared" ref="J195:J258" si="32">WEEKDAY(H195)</f>
        <v>2</v>
      </c>
      <c r="K195" s="9">
        <f t="shared" si="31"/>
        <v>1</v>
      </c>
      <c r="L195" s="10">
        <f t="shared" ref="L195:L258" si="33">+K195</f>
        <v>1</v>
      </c>
      <c r="M195" s="10">
        <f t="shared" si="28"/>
        <v>135.5</v>
      </c>
    </row>
    <row r="196" spans="7:13" ht="17.25" customHeight="1" x14ac:dyDescent="0.25">
      <c r="G196" s="2" t="str">
        <f t="shared" si="29"/>
        <v>Tue</v>
      </c>
      <c r="H196" s="8">
        <f t="shared" ref="H196:H259" si="34">+H195+1</f>
        <v>46217</v>
      </c>
      <c r="I196" s="6">
        <f t="shared" si="30"/>
        <v>0</v>
      </c>
      <c r="J196" s="6">
        <f t="shared" si="32"/>
        <v>3</v>
      </c>
      <c r="K196" s="9">
        <f t="shared" si="31"/>
        <v>1</v>
      </c>
      <c r="L196" s="10">
        <f t="shared" si="33"/>
        <v>1</v>
      </c>
      <c r="M196" s="10">
        <f t="shared" ref="M196:M259" si="35">+L196+M195</f>
        <v>136.5</v>
      </c>
    </row>
    <row r="197" spans="7:13" ht="17.25" customHeight="1" x14ac:dyDescent="0.25">
      <c r="G197" s="2" t="str">
        <f t="shared" si="29"/>
        <v>Wed</v>
      </c>
      <c r="H197" s="8">
        <f t="shared" si="34"/>
        <v>46218</v>
      </c>
      <c r="I197" s="6">
        <f t="shared" si="30"/>
        <v>0</v>
      </c>
      <c r="J197" s="6">
        <f t="shared" si="32"/>
        <v>4</v>
      </c>
      <c r="K197" s="9">
        <f t="shared" si="31"/>
        <v>1</v>
      </c>
      <c r="L197" s="10">
        <f t="shared" si="33"/>
        <v>1</v>
      </c>
      <c r="M197" s="10">
        <f t="shared" si="35"/>
        <v>137.5</v>
      </c>
    </row>
    <row r="198" spans="7:13" ht="17.25" customHeight="1" x14ac:dyDescent="0.25">
      <c r="G198" s="2" t="str">
        <f t="shared" si="29"/>
        <v>Thu</v>
      </c>
      <c r="H198" s="8">
        <f t="shared" si="34"/>
        <v>46219</v>
      </c>
      <c r="I198" s="6">
        <f t="shared" si="30"/>
        <v>0</v>
      </c>
      <c r="J198" s="6">
        <f t="shared" si="32"/>
        <v>5</v>
      </c>
      <c r="K198" s="9">
        <f t="shared" si="31"/>
        <v>1</v>
      </c>
      <c r="L198" s="10">
        <f t="shared" si="33"/>
        <v>1</v>
      </c>
      <c r="M198" s="10">
        <f t="shared" si="35"/>
        <v>138.5</v>
      </c>
    </row>
    <row r="199" spans="7:13" ht="17.25" customHeight="1" x14ac:dyDescent="0.25">
      <c r="G199" s="2" t="str">
        <f t="shared" si="29"/>
        <v>Fri</v>
      </c>
      <c r="H199" s="8">
        <f t="shared" si="34"/>
        <v>46220</v>
      </c>
      <c r="I199" s="6">
        <f t="shared" si="30"/>
        <v>0</v>
      </c>
      <c r="J199" s="6">
        <f t="shared" si="32"/>
        <v>6</v>
      </c>
      <c r="K199" s="9">
        <f t="shared" si="31"/>
        <v>1</v>
      </c>
      <c r="L199" s="10">
        <f t="shared" si="33"/>
        <v>1</v>
      </c>
      <c r="M199" s="10">
        <f t="shared" si="35"/>
        <v>139.5</v>
      </c>
    </row>
    <row r="200" spans="7:13" ht="17.25" customHeight="1" x14ac:dyDescent="0.25">
      <c r="G200" s="2" t="str">
        <f t="shared" si="29"/>
        <v>Sat</v>
      </c>
      <c r="H200" s="8">
        <f t="shared" si="34"/>
        <v>46221</v>
      </c>
      <c r="I200" s="6">
        <f t="shared" si="30"/>
        <v>0</v>
      </c>
      <c r="J200" s="6">
        <f t="shared" si="32"/>
        <v>7</v>
      </c>
      <c r="K200" s="9">
        <f t="shared" si="31"/>
        <v>0</v>
      </c>
      <c r="L200" s="10">
        <f t="shared" si="33"/>
        <v>0</v>
      </c>
      <c r="M200" s="10">
        <f t="shared" si="35"/>
        <v>139.5</v>
      </c>
    </row>
    <row r="201" spans="7:13" ht="17.25" customHeight="1" x14ac:dyDescent="0.25">
      <c r="G201" s="2" t="str">
        <f t="shared" si="29"/>
        <v>Sun</v>
      </c>
      <c r="H201" s="8">
        <f t="shared" si="34"/>
        <v>46222</v>
      </c>
      <c r="I201" s="6">
        <f t="shared" si="30"/>
        <v>0</v>
      </c>
      <c r="J201" s="6">
        <f t="shared" si="32"/>
        <v>1</v>
      </c>
      <c r="K201" s="9">
        <f t="shared" si="31"/>
        <v>0</v>
      </c>
      <c r="L201" s="10">
        <f t="shared" si="33"/>
        <v>0</v>
      </c>
      <c r="M201" s="10">
        <f t="shared" si="35"/>
        <v>139.5</v>
      </c>
    </row>
    <row r="202" spans="7:13" ht="17.25" customHeight="1" x14ac:dyDescent="0.25">
      <c r="G202" s="2" t="str">
        <f t="shared" si="29"/>
        <v>Mon</v>
      </c>
      <c r="H202" s="8">
        <f t="shared" si="34"/>
        <v>46223</v>
      </c>
      <c r="I202" s="6">
        <f t="shared" si="30"/>
        <v>0</v>
      </c>
      <c r="J202" s="6">
        <f t="shared" si="32"/>
        <v>2</v>
      </c>
      <c r="K202" s="9">
        <f t="shared" si="31"/>
        <v>1</v>
      </c>
      <c r="L202" s="10">
        <f t="shared" si="33"/>
        <v>1</v>
      </c>
      <c r="M202" s="10">
        <f t="shared" si="35"/>
        <v>140.5</v>
      </c>
    </row>
    <row r="203" spans="7:13" ht="17.25" customHeight="1" x14ac:dyDescent="0.25">
      <c r="G203" s="2" t="str">
        <f t="shared" si="29"/>
        <v>Tue</v>
      </c>
      <c r="H203" s="8">
        <f t="shared" si="34"/>
        <v>46224</v>
      </c>
      <c r="I203" s="6">
        <f t="shared" si="30"/>
        <v>0</v>
      </c>
      <c r="J203" s="6">
        <f t="shared" si="32"/>
        <v>3</v>
      </c>
      <c r="K203" s="9">
        <f t="shared" si="31"/>
        <v>1</v>
      </c>
      <c r="L203" s="10">
        <f t="shared" si="33"/>
        <v>1</v>
      </c>
      <c r="M203" s="10">
        <f t="shared" si="35"/>
        <v>141.5</v>
      </c>
    </row>
    <row r="204" spans="7:13" ht="17.25" customHeight="1" x14ac:dyDescent="0.25">
      <c r="G204" s="2" t="str">
        <f t="shared" si="29"/>
        <v>Wed</v>
      </c>
      <c r="H204" s="8">
        <f t="shared" si="34"/>
        <v>46225</v>
      </c>
      <c r="I204" s="6">
        <f t="shared" si="30"/>
        <v>0</v>
      </c>
      <c r="J204" s="6">
        <f t="shared" si="32"/>
        <v>4</v>
      </c>
      <c r="K204" s="9">
        <f t="shared" si="31"/>
        <v>1</v>
      </c>
      <c r="L204" s="10">
        <f t="shared" si="33"/>
        <v>1</v>
      </c>
      <c r="M204" s="10">
        <f t="shared" si="35"/>
        <v>142.5</v>
      </c>
    </row>
    <row r="205" spans="7:13" ht="17.25" customHeight="1" x14ac:dyDescent="0.25">
      <c r="G205" s="2" t="str">
        <f t="shared" si="29"/>
        <v>Thu</v>
      </c>
      <c r="H205" s="8">
        <f t="shared" si="34"/>
        <v>46226</v>
      </c>
      <c r="I205" s="6">
        <f t="shared" si="30"/>
        <v>0</v>
      </c>
      <c r="J205" s="6">
        <f t="shared" si="32"/>
        <v>5</v>
      </c>
      <c r="K205" s="9">
        <f t="shared" si="31"/>
        <v>1</v>
      </c>
      <c r="L205" s="10">
        <f t="shared" si="33"/>
        <v>1</v>
      </c>
      <c r="M205" s="10">
        <f t="shared" si="35"/>
        <v>143.5</v>
      </c>
    </row>
    <row r="206" spans="7:13" ht="17.25" customHeight="1" x14ac:dyDescent="0.25">
      <c r="G206" s="2" t="str">
        <f t="shared" si="29"/>
        <v>Fri</v>
      </c>
      <c r="H206" s="8">
        <f t="shared" si="34"/>
        <v>46227</v>
      </c>
      <c r="I206" s="6">
        <f t="shared" si="30"/>
        <v>0</v>
      </c>
      <c r="J206" s="6">
        <f t="shared" si="32"/>
        <v>6</v>
      </c>
      <c r="K206" s="9">
        <f t="shared" si="31"/>
        <v>1</v>
      </c>
      <c r="L206" s="10">
        <f t="shared" si="33"/>
        <v>1</v>
      </c>
      <c r="M206" s="10">
        <f t="shared" si="35"/>
        <v>144.5</v>
      </c>
    </row>
    <row r="207" spans="7:13" ht="17.25" customHeight="1" x14ac:dyDescent="0.25">
      <c r="G207" s="2" t="str">
        <f t="shared" si="29"/>
        <v>Sat</v>
      </c>
      <c r="H207" s="8">
        <f t="shared" si="34"/>
        <v>46228</v>
      </c>
      <c r="I207" s="6">
        <f t="shared" si="30"/>
        <v>0</v>
      </c>
      <c r="J207" s="6">
        <f t="shared" si="32"/>
        <v>7</v>
      </c>
      <c r="K207" s="9">
        <f t="shared" si="31"/>
        <v>0</v>
      </c>
      <c r="L207" s="10">
        <f t="shared" si="33"/>
        <v>0</v>
      </c>
      <c r="M207" s="10">
        <f t="shared" si="35"/>
        <v>144.5</v>
      </c>
    </row>
    <row r="208" spans="7:13" ht="17.25" customHeight="1" x14ac:dyDescent="0.25">
      <c r="G208" s="2" t="str">
        <f t="shared" si="29"/>
        <v>Sun</v>
      </c>
      <c r="H208" s="8">
        <f t="shared" si="34"/>
        <v>46229</v>
      </c>
      <c r="I208" s="6">
        <f t="shared" si="30"/>
        <v>0</v>
      </c>
      <c r="J208" s="6">
        <f t="shared" si="32"/>
        <v>1</v>
      </c>
      <c r="K208" s="9">
        <f t="shared" si="31"/>
        <v>0</v>
      </c>
      <c r="L208" s="10">
        <f t="shared" si="33"/>
        <v>0</v>
      </c>
      <c r="M208" s="10">
        <f t="shared" si="35"/>
        <v>144.5</v>
      </c>
    </row>
    <row r="209" spans="7:13" ht="17.25" customHeight="1" x14ac:dyDescent="0.25">
      <c r="G209" s="2" t="str">
        <f t="shared" si="29"/>
        <v>Mon</v>
      </c>
      <c r="H209" s="8">
        <f t="shared" si="34"/>
        <v>46230</v>
      </c>
      <c r="I209" s="6">
        <f t="shared" si="30"/>
        <v>0</v>
      </c>
      <c r="J209" s="6">
        <f t="shared" si="32"/>
        <v>2</v>
      </c>
      <c r="K209" s="9">
        <f t="shared" si="31"/>
        <v>1</v>
      </c>
      <c r="L209" s="10">
        <f t="shared" si="33"/>
        <v>1</v>
      </c>
      <c r="M209" s="10">
        <f t="shared" si="35"/>
        <v>145.5</v>
      </c>
    </row>
    <row r="210" spans="7:13" ht="17.25" customHeight="1" x14ac:dyDescent="0.25">
      <c r="G210" s="2" t="str">
        <f t="shared" si="29"/>
        <v>Tue</v>
      </c>
      <c r="H210" s="8">
        <f t="shared" si="34"/>
        <v>46231</v>
      </c>
      <c r="I210" s="6">
        <f t="shared" si="30"/>
        <v>0</v>
      </c>
      <c r="J210" s="6">
        <f t="shared" si="32"/>
        <v>3</v>
      </c>
      <c r="K210" s="9">
        <f t="shared" si="31"/>
        <v>1</v>
      </c>
      <c r="L210" s="10">
        <f t="shared" si="33"/>
        <v>1</v>
      </c>
      <c r="M210" s="10">
        <f t="shared" si="35"/>
        <v>146.5</v>
      </c>
    </row>
    <row r="211" spans="7:13" ht="17.25" customHeight="1" x14ac:dyDescent="0.25">
      <c r="G211" s="2" t="str">
        <f t="shared" si="29"/>
        <v>Wed</v>
      </c>
      <c r="H211" s="8">
        <f t="shared" si="34"/>
        <v>46232</v>
      </c>
      <c r="I211" s="6">
        <f t="shared" si="30"/>
        <v>0</v>
      </c>
      <c r="J211" s="6">
        <f t="shared" si="32"/>
        <v>4</v>
      </c>
      <c r="K211" s="9">
        <f t="shared" si="31"/>
        <v>1</v>
      </c>
      <c r="L211" s="10">
        <f t="shared" si="33"/>
        <v>1</v>
      </c>
      <c r="M211" s="10">
        <f t="shared" si="35"/>
        <v>147.5</v>
      </c>
    </row>
    <row r="212" spans="7:13" ht="17.25" customHeight="1" x14ac:dyDescent="0.25">
      <c r="G212" s="2" t="str">
        <f t="shared" si="29"/>
        <v>Thu</v>
      </c>
      <c r="H212" s="8">
        <f t="shared" si="34"/>
        <v>46233</v>
      </c>
      <c r="I212" s="6">
        <f t="shared" si="30"/>
        <v>0</v>
      </c>
      <c r="J212" s="6">
        <f t="shared" si="32"/>
        <v>5</v>
      </c>
      <c r="K212" s="9">
        <f t="shared" si="31"/>
        <v>1</v>
      </c>
      <c r="L212" s="10">
        <f t="shared" si="33"/>
        <v>1</v>
      </c>
      <c r="M212" s="10">
        <f t="shared" si="35"/>
        <v>148.5</v>
      </c>
    </row>
    <row r="213" spans="7:13" ht="17.25" customHeight="1" x14ac:dyDescent="0.25">
      <c r="G213" s="2" t="str">
        <f t="shared" si="29"/>
        <v>Fri</v>
      </c>
      <c r="H213" s="8">
        <f t="shared" si="34"/>
        <v>46234</v>
      </c>
      <c r="I213" s="6">
        <f t="shared" si="30"/>
        <v>0</v>
      </c>
      <c r="J213" s="6">
        <f t="shared" si="32"/>
        <v>6</v>
      </c>
      <c r="K213" s="9">
        <f t="shared" si="31"/>
        <v>1</v>
      </c>
      <c r="L213" s="10">
        <f t="shared" si="33"/>
        <v>1</v>
      </c>
      <c r="M213" s="10">
        <f t="shared" si="35"/>
        <v>149.5</v>
      </c>
    </row>
    <row r="214" spans="7:13" ht="17.25" customHeight="1" x14ac:dyDescent="0.25">
      <c r="G214" s="2" t="str">
        <f t="shared" si="29"/>
        <v>Sat</v>
      </c>
      <c r="H214" s="8">
        <f t="shared" si="34"/>
        <v>46235</v>
      </c>
      <c r="I214" s="6">
        <f t="shared" si="30"/>
        <v>0</v>
      </c>
      <c r="J214" s="6">
        <f t="shared" si="32"/>
        <v>7</v>
      </c>
      <c r="K214" s="9">
        <f t="shared" si="31"/>
        <v>0</v>
      </c>
      <c r="L214" s="10">
        <f t="shared" si="33"/>
        <v>0</v>
      </c>
      <c r="M214" s="10">
        <f t="shared" si="35"/>
        <v>149.5</v>
      </c>
    </row>
    <row r="215" spans="7:13" ht="17.25" customHeight="1" x14ac:dyDescent="0.25">
      <c r="G215" s="2" t="str">
        <f t="shared" si="29"/>
        <v>Sun</v>
      </c>
      <c r="H215" s="8">
        <f t="shared" si="34"/>
        <v>46236</v>
      </c>
      <c r="I215" s="6">
        <f t="shared" si="30"/>
        <v>0</v>
      </c>
      <c r="J215" s="6">
        <f t="shared" si="32"/>
        <v>1</v>
      </c>
      <c r="K215" s="9">
        <f t="shared" si="31"/>
        <v>0</v>
      </c>
      <c r="L215" s="10">
        <f t="shared" si="33"/>
        <v>0</v>
      </c>
      <c r="M215" s="10">
        <f t="shared" si="35"/>
        <v>149.5</v>
      </c>
    </row>
    <row r="216" spans="7:13" ht="17.25" customHeight="1" x14ac:dyDescent="0.25">
      <c r="G216" s="2" t="str">
        <f t="shared" si="29"/>
        <v>Mon</v>
      </c>
      <c r="H216" s="8">
        <f t="shared" si="34"/>
        <v>46237</v>
      </c>
      <c r="I216" s="6">
        <f t="shared" si="30"/>
        <v>0</v>
      </c>
      <c r="J216" s="6">
        <f t="shared" si="32"/>
        <v>2</v>
      </c>
      <c r="K216" s="9">
        <f t="shared" si="31"/>
        <v>1</v>
      </c>
      <c r="L216" s="10">
        <f t="shared" si="33"/>
        <v>1</v>
      </c>
      <c r="M216" s="10">
        <f t="shared" si="35"/>
        <v>150.5</v>
      </c>
    </row>
    <row r="217" spans="7:13" ht="17.25" customHeight="1" x14ac:dyDescent="0.25">
      <c r="G217" s="2" t="str">
        <f t="shared" si="29"/>
        <v>Tue</v>
      </c>
      <c r="H217" s="8">
        <f t="shared" si="34"/>
        <v>46238</v>
      </c>
      <c r="I217" s="6">
        <f t="shared" si="30"/>
        <v>0</v>
      </c>
      <c r="J217" s="6">
        <f t="shared" si="32"/>
        <v>3</v>
      </c>
      <c r="K217" s="9">
        <f t="shared" si="31"/>
        <v>1</v>
      </c>
      <c r="L217" s="10">
        <f t="shared" si="33"/>
        <v>1</v>
      </c>
      <c r="M217" s="10">
        <f t="shared" si="35"/>
        <v>151.5</v>
      </c>
    </row>
    <row r="218" spans="7:13" ht="17.25" customHeight="1" x14ac:dyDescent="0.25">
      <c r="G218" s="2" t="str">
        <f t="shared" si="29"/>
        <v>Wed</v>
      </c>
      <c r="H218" s="8">
        <f t="shared" si="34"/>
        <v>46239</v>
      </c>
      <c r="I218" s="6">
        <f t="shared" si="30"/>
        <v>0</v>
      </c>
      <c r="J218" s="6">
        <f t="shared" si="32"/>
        <v>4</v>
      </c>
      <c r="K218" s="9">
        <f t="shared" si="31"/>
        <v>1</v>
      </c>
      <c r="L218" s="10">
        <f t="shared" si="33"/>
        <v>1</v>
      </c>
      <c r="M218" s="10">
        <f t="shared" si="35"/>
        <v>152.5</v>
      </c>
    </row>
    <row r="219" spans="7:13" ht="17.25" customHeight="1" x14ac:dyDescent="0.25">
      <c r="G219" s="2" t="str">
        <f t="shared" si="29"/>
        <v>Thu</v>
      </c>
      <c r="H219" s="8">
        <f t="shared" si="34"/>
        <v>46240</v>
      </c>
      <c r="I219" s="6">
        <f t="shared" si="30"/>
        <v>0</v>
      </c>
      <c r="J219" s="6">
        <f t="shared" si="32"/>
        <v>5</v>
      </c>
      <c r="K219" s="9">
        <f t="shared" si="31"/>
        <v>1</v>
      </c>
      <c r="L219" s="10">
        <f t="shared" si="33"/>
        <v>1</v>
      </c>
      <c r="M219" s="10">
        <f t="shared" si="35"/>
        <v>153.5</v>
      </c>
    </row>
    <row r="220" spans="7:13" ht="17.25" customHeight="1" x14ac:dyDescent="0.25">
      <c r="G220" s="2" t="str">
        <f t="shared" si="29"/>
        <v>Fri</v>
      </c>
      <c r="H220" s="8">
        <f t="shared" si="34"/>
        <v>46241</v>
      </c>
      <c r="I220" s="6">
        <f t="shared" si="30"/>
        <v>0</v>
      </c>
      <c r="J220" s="6">
        <f t="shared" si="32"/>
        <v>6</v>
      </c>
      <c r="K220" s="9">
        <f t="shared" si="31"/>
        <v>1</v>
      </c>
      <c r="L220" s="10">
        <f t="shared" si="33"/>
        <v>1</v>
      </c>
      <c r="M220" s="10">
        <f t="shared" si="35"/>
        <v>154.5</v>
      </c>
    </row>
    <row r="221" spans="7:13" ht="17.25" customHeight="1" x14ac:dyDescent="0.25">
      <c r="G221" s="2" t="str">
        <f t="shared" si="29"/>
        <v>Sat</v>
      </c>
      <c r="H221" s="8">
        <f t="shared" si="34"/>
        <v>46242</v>
      </c>
      <c r="I221" s="6">
        <f t="shared" si="30"/>
        <v>0</v>
      </c>
      <c r="J221" s="6">
        <f t="shared" si="32"/>
        <v>7</v>
      </c>
      <c r="K221" s="9">
        <f t="shared" si="31"/>
        <v>0</v>
      </c>
      <c r="L221" s="10">
        <f t="shared" si="33"/>
        <v>0</v>
      </c>
      <c r="M221" s="10">
        <f t="shared" si="35"/>
        <v>154.5</v>
      </c>
    </row>
    <row r="222" spans="7:13" ht="17.25" customHeight="1" x14ac:dyDescent="0.25">
      <c r="G222" s="2" t="str">
        <f t="shared" si="29"/>
        <v>Sun</v>
      </c>
      <c r="H222" s="8">
        <f t="shared" si="34"/>
        <v>46243</v>
      </c>
      <c r="I222" s="6">
        <f t="shared" si="30"/>
        <v>0</v>
      </c>
      <c r="J222" s="6">
        <f t="shared" si="32"/>
        <v>1</v>
      </c>
      <c r="K222" s="9">
        <f t="shared" si="31"/>
        <v>0</v>
      </c>
      <c r="L222" s="10">
        <f t="shared" si="33"/>
        <v>0</v>
      </c>
      <c r="M222" s="10">
        <f t="shared" si="35"/>
        <v>154.5</v>
      </c>
    </row>
    <row r="223" spans="7:13" ht="17.25" customHeight="1" x14ac:dyDescent="0.25">
      <c r="G223" s="2" t="str">
        <f t="shared" si="29"/>
        <v>Mon</v>
      </c>
      <c r="H223" s="8">
        <f t="shared" si="34"/>
        <v>46244</v>
      </c>
      <c r="I223" s="6">
        <f t="shared" si="30"/>
        <v>0</v>
      </c>
      <c r="J223" s="6">
        <f t="shared" si="32"/>
        <v>2</v>
      </c>
      <c r="K223" s="9">
        <f t="shared" si="31"/>
        <v>1</v>
      </c>
      <c r="L223" s="10">
        <f t="shared" si="33"/>
        <v>1</v>
      </c>
      <c r="M223" s="10">
        <f t="shared" si="35"/>
        <v>155.5</v>
      </c>
    </row>
    <row r="224" spans="7:13" ht="17.25" customHeight="1" x14ac:dyDescent="0.25">
      <c r="G224" s="2" t="str">
        <f t="shared" si="29"/>
        <v>Tue</v>
      </c>
      <c r="H224" s="8">
        <f t="shared" si="34"/>
        <v>46245</v>
      </c>
      <c r="I224" s="6">
        <f t="shared" si="30"/>
        <v>0</v>
      </c>
      <c r="J224" s="6">
        <f t="shared" si="32"/>
        <v>3</v>
      </c>
      <c r="K224" s="9">
        <f t="shared" si="31"/>
        <v>1</v>
      </c>
      <c r="L224" s="10">
        <f t="shared" si="33"/>
        <v>1</v>
      </c>
      <c r="M224" s="10">
        <f t="shared" si="35"/>
        <v>156.5</v>
      </c>
    </row>
    <row r="225" spans="7:13" ht="17.25" customHeight="1" x14ac:dyDescent="0.25">
      <c r="G225" s="2" t="str">
        <f t="shared" si="29"/>
        <v>Wed</v>
      </c>
      <c r="H225" s="8">
        <f t="shared" si="34"/>
        <v>46246</v>
      </c>
      <c r="I225" s="6">
        <f t="shared" si="30"/>
        <v>0</v>
      </c>
      <c r="J225" s="6">
        <f t="shared" si="32"/>
        <v>4</v>
      </c>
      <c r="K225" s="9">
        <f t="shared" si="31"/>
        <v>1</v>
      </c>
      <c r="L225" s="10">
        <f t="shared" si="33"/>
        <v>1</v>
      </c>
      <c r="M225" s="10">
        <f t="shared" si="35"/>
        <v>157.5</v>
      </c>
    </row>
    <row r="226" spans="7:13" ht="17.25" customHeight="1" x14ac:dyDescent="0.25">
      <c r="G226" s="2" t="str">
        <f t="shared" si="29"/>
        <v>Thu</v>
      </c>
      <c r="H226" s="8">
        <f t="shared" si="34"/>
        <v>46247</v>
      </c>
      <c r="I226" s="6">
        <f t="shared" si="30"/>
        <v>0</v>
      </c>
      <c r="J226" s="6">
        <f t="shared" si="32"/>
        <v>5</v>
      </c>
      <c r="K226" s="9">
        <f t="shared" si="31"/>
        <v>1</v>
      </c>
      <c r="L226" s="10">
        <f t="shared" si="33"/>
        <v>1</v>
      </c>
      <c r="M226" s="10">
        <f t="shared" si="35"/>
        <v>158.5</v>
      </c>
    </row>
    <row r="227" spans="7:13" ht="17.25" customHeight="1" x14ac:dyDescent="0.25">
      <c r="G227" s="2" t="str">
        <f t="shared" si="29"/>
        <v>Fri</v>
      </c>
      <c r="H227" s="8">
        <f t="shared" si="34"/>
        <v>46248</v>
      </c>
      <c r="I227" s="6">
        <f t="shared" si="30"/>
        <v>0</v>
      </c>
      <c r="J227" s="6">
        <f t="shared" si="32"/>
        <v>6</v>
      </c>
      <c r="K227" s="9">
        <f t="shared" si="31"/>
        <v>1</v>
      </c>
      <c r="L227" s="10">
        <f t="shared" si="33"/>
        <v>1</v>
      </c>
      <c r="M227" s="10">
        <f t="shared" si="35"/>
        <v>159.5</v>
      </c>
    </row>
    <row r="228" spans="7:13" ht="17.25" customHeight="1" x14ac:dyDescent="0.25">
      <c r="G228" s="2" t="str">
        <f t="shared" si="29"/>
        <v>Sat</v>
      </c>
      <c r="H228" s="8">
        <f t="shared" si="34"/>
        <v>46249</v>
      </c>
      <c r="I228" s="6">
        <f t="shared" si="30"/>
        <v>0</v>
      </c>
      <c r="J228" s="6">
        <f t="shared" si="32"/>
        <v>7</v>
      </c>
      <c r="K228" s="9">
        <f t="shared" si="31"/>
        <v>0</v>
      </c>
      <c r="L228" s="10">
        <f t="shared" si="33"/>
        <v>0</v>
      </c>
      <c r="M228" s="10">
        <f t="shared" si="35"/>
        <v>159.5</v>
      </c>
    </row>
    <row r="229" spans="7:13" ht="17.25" customHeight="1" x14ac:dyDescent="0.25">
      <c r="G229" s="2" t="str">
        <f t="shared" si="29"/>
        <v>Sun</v>
      </c>
      <c r="H229" s="8">
        <f t="shared" si="34"/>
        <v>46250</v>
      </c>
      <c r="I229" s="6">
        <f t="shared" si="30"/>
        <v>0</v>
      </c>
      <c r="J229" s="6">
        <f t="shared" si="32"/>
        <v>1</v>
      </c>
      <c r="K229" s="9">
        <f t="shared" si="31"/>
        <v>0</v>
      </c>
      <c r="L229" s="10">
        <f t="shared" si="33"/>
        <v>0</v>
      </c>
      <c r="M229" s="10">
        <f t="shared" si="35"/>
        <v>159.5</v>
      </c>
    </row>
    <row r="230" spans="7:13" ht="17.25" customHeight="1" x14ac:dyDescent="0.25">
      <c r="G230" s="2" t="str">
        <f t="shared" si="29"/>
        <v>Mon</v>
      </c>
      <c r="H230" s="8">
        <f t="shared" si="34"/>
        <v>46251</v>
      </c>
      <c r="I230" s="6">
        <f t="shared" si="30"/>
        <v>0</v>
      </c>
      <c r="J230" s="6">
        <f t="shared" si="32"/>
        <v>2</v>
      </c>
      <c r="K230" s="9">
        <f t="shared" si="31"/>
        <v>1</v>
      </c>
      <c r="L230" s="10">
        <f t="shared" si="33"/>
        <v>1</v>
      </c>
      <c r="M230" s="10">
        <f t="shared" si="35"/>
        <v>160.5</v>
      </c>
    </row>
    <row r="231" spans="7:13" ht="17.25" customHeight="1" x14ac:dyDescent="0.25">
      <c r="G231" s="2" t="str">
        <f t="shared" si="29"/>
        <v>Tue</v>
      </c>
      <c r="H231" s="8">
        <f t="shared" si="34"/>
        <v>46252</v>
      </c>
      <c r="I231" s="6">
        <f t="shared" si="30"/>
        <v>0</v>
      </c>
      <c r="J231" s="6">
        <f t="shared" si="32"/>
        <v>3</v>
      </c>
      <c r="K231" s="9">
        <f t="shared" si="31"/>
        <v>1</v>
      </c>
      <c r="L231" s="10">
        <f t="shared" si="33"/>
        <v>1</v>
      </c>
      <c r="M231" s="10">
        <f t="shared" si="35"/>
        <v>161.5</v>
      </c>
    </row>
    <row r="232" spans="7:13" ht="17.25" customHeight="1" x14ac:dyDescent="0.25">
      <c r="G232" s="2" t="str">
        <f t="shared" si="29"/>
        <v>Wed</v>
      </c>
      <c r="H232" s="8">
        <f t="shared" si="34"/>
        <v>46253</v>
      </c>
      <c r="I232" s="6">
        <f t="shared" si="30"/>
        <v>0</v>
      </c>
      <c r="J232" s="6">
        <f t="shared" si="32"/>
        <v>4</v>
      </c>
      <c r="K232" s="9">
        <f t="shared" si="31"/>
        <v>1</v>
      </c>
      <c r="L232" s="10">
        <f t="shared" si="33"/>
        <v>1</v>
      </c>
      <c r="M232" s="10">
        <f t="shared" si="35"/>
        <v>162.5</v>
      </c>
    </row>
    <row r="233" spans="7:13" ht="17.25" customHeight="1" x14ac:dyDescent="0.25">
      <c r="G233" s="2" t="str">
        <f t="shared" si="29"/>
        <v>Thu</v>
      </c>
      <c r="H233" s="8">
        <f t="shared" si="34"/>
        <v>46254</v>
      </c>
      <c r="I233" s="6">
        <f t="shared" si="30"/>
        <v>0</v>
      </c>
      <c r="J233" s="6">
        <f t="shared" si="32"/>
        <v>5</v>
      </c>
      <c r="K233" s="9">
        <f t="shared" si="31"/>
        <v>1</v>
      </c>
      <c r="L233" s="10">
        <f t="shared" si="33"/>
        <v>1</v>
      </c>
      <c r="M233" s="10">
        <f t="shared" si="35"/>
        <v>163.5</v>
      </c>
    </row>
    <row r="234" spans="7:13" ht="17.25" customHeight="1" x14ac:dyDescent="0.25">
      <c r="G234" s="2" t="str">
        <f t="shared" si="29"/>
        <v>Fri</v>
      </c>
      <c r="H234" s="8">
        <f t="shared" si="34"/>
        <v>46255</v>
      </c>
      <c r="I234" s="6">
        <f t="shared" si="30"/>
        <v>0</v>
      </c>
      <c r="J234" s="6">
        <f t="shared" si="32"/>
        <v>6</v>
      </c>
      <c r="K234" s="9">
        <f t="shared" si="31"/>
        <v>1</v>
      </c>
      <c r="L234" s="10">
        <f t="shared" si="33"/>
        <v>1</v>
      </c>
      <c r="M234" s="10">
        <f t="shared" si="35"/>
        <v>164.5</v>
      </c>
    </row>
    <row r="235" spans="7:13" ht="17.25" customHeight="1" x14ac:dyDescent="0.25">
      <c r="G235" s="2" t="str">
        <f t="shared" si="29"/>
        <v>Sat</v>
      </c>
      <c r="H235" s="8">
        <f t="shared" si="34"/>
        <v>46256</v>
      </c>
      <c r="I235" s="6">
        <f t="shared" si="30"/>
        <v>0</v>
      </c>
      <c r="J235" s="6">
        <f t="shared" si="32"/>
        <v>7</v>
      </c>
      <c r="K235" s="9">
        <f t="shared" si="31"/>
        <v>0</v>
      </c>
      <c r="L235" s="10">
        <f t="shared" si="33"/>
        <v>0</v>
      </c>
      <c r="M235" s="10">
        <f t="shared" si="35"/>
        <v>164.5</v>
      </c>
    </row>
    <row r="236" spans="7:13" ht="17.25" customHeight="1" x14ac:dyDescent="0.25">
      <c r="G236" s="2" t="str">
        <f t="shared" si="29"/>
        <v>Sun</v>
      </c>
      <c r="H236" s="8">
        <f t="shared" si="34"/>
        <v>46257</v>
      </c>
      <c r="I236" s="6">
        <f t="shared" si="30"/>
        <v>0</v>
      </c>
      <c r="J236" s="6">
        <f t="shared" si="32"/>
        <v>1</v>
      </c>
      <c r="K236" s="9">
        <f t="shared" si="31"/>
        <v>0</v>
      </c>
      <c r="L236" s="10">
        <f t="shared" si="33"/>
        <v>0</v>
      </c>
      <c r="M236" s="10">
        <f t="shared" si="35"/>
        <v>164.5</v>
      </c>
    </row>
    <row r="237" spans="7:13" ht="17.25" customHeight="1" x14ac:dyDescent="0.25">
      <c r="G237" s="2" t="str">
        <f t="shared" si="29"/>
        <v>Mon</v>
      </c>
      <c r="H237" s="8">
        <f t="shared" si="34"/>
        <v>46258</v>
      </c>
      <c r="I237" s="6">
        <f t="shared" si="30"/>
        <v>0</v>
      </c>
      <c r="J237" s="6">
        <f t="shared" si="32"/>
        <v>2</v>
      </c>
      <c r="K237" s="9">
        <f t="shared" si="31"/>
        <v>1</v>
      </c>
      <c r="L237" s="10">
        <f t="shared" si="33"/>
        <v>1</v>
      </c>
      <c r="M237" s="10">
        <f t="shared" si="35"/>
        <v>165.5</v>
      </c>
    </row>
    <row r="238" spans="7:13" ht="17.25" customHeight="1" x14ac:dyDescent="0.25">
      <c r="G238" s="2" t="str">
        <f t="shared" si="29"/>
        <v>Tue</v>
      </c>
      <c r="H238" s="8">
        <f t="shared" si="34"/>
        <v>46259</v>
      </c>
      <c r="I238" s="6">
        <f t="shared" si="30"/>
        <v>0</v>
      </c>
      <c r="J238" s="6">
        <f t="shared" si="32"/>
        <v>3</v>
      </c>
      <c r="K238" s="9">
        <f t="shared" si="31"/>
        <v>1</v>
      </c>
      <c r="L238" s="10">
        <f t="shared" si="33"/>
        <v>1</v>
      </c>
      <c r="M238" s="10">
        <f t="shared" si="35"/>
        <v>166.5</v>
      </c>
    </row>
    <row r="239" spans="7:13" ht="17.25" customHeight="1" x14ac:dyDescent="0.25">
      <c r="G239" s="2" t="str">
        <f t="shared" si="29"/>
        <v>Wed</v>
      </c>
      <c r="H239" s="8">
        <f t="shared" si="34"/>
        <v>46260</v>
      </c>
      <c r="I239" s="6">
        <f t="shared" si="30"/>
        <v>0</v>
      </c>
      <c r="J239" s="6">
        <f t="shared" si="32"/>
        <v>4</v>
      </c>
      <c r="K239" s="9">
        <f t="shared" si="31"/>
        <v>1</v>
      </c>
      <c r="L239" s="10">
        <f t="shared" si="33"/>
        <v>1</v>
      </c>
      <c r="M239" s="10">
        <f t="shared" si="35"/>
        <v>167.5</v>
      </c>
    </row>
    <row r="240" spans="7:13" ht="17.25" customHeight="1" x14ac:dyDescent="0.25">
      <c r="G240" s="2" t="str">
        <f t="shared" si="29"/>
        <v>Thu</v>
      </c>
      <c r="H240" s="8">
        <f t="shared" si="34"/>
        <v>46261</v>
      </c>
      <c r="I240" s="6">
        <f t="shared" si="30"/>
        <v>0</v>
      </c>
      <c r="J240" s="6">
        <f t="shared" si="32"/>
        <v>5</v>
      </c>
      <c r="K240" s="9">
        <f t="shared" si="31"/>
        <v>1</v>
      </c>
      <c r="L240" s="10">
        <f t="shared" si="33"/>
        <v>1</v>
      </c>
      <c r="M240" s="10">
        <f t="shared" si="35"/>
        <v>168.5</v>
      </c>
    </row>
    <row r="241" spans="7:13" ht="17.25" customHeight="1" x14ac:dyDescent="0.25">
      <c r="G241" s="2" t="str">
        <f t="shared" si="29"/>
        <v>Fri</v>
      </c>
      <c r="H241" s="8">
        <f t="shared" si="34"/>
        <v>46262</v>
      </c>
      <c r="I241" s="6">
        <f t="shared" si="30"/>
        <v>0</v>
      </c>
      <c r="J241" s="6">
        <f t="shared" si="32"/>
        <v>6</v>
      </c>
      <c r="K241" s="9">
        <f t="shared" si="31"/>
        <v>1</v>
      </c>
      <c r="L241" s="10">
        <f t="shared" si="33"/>
        <v>1</v>
      </c>
      <c r="M241" s="10">
        <f t="shared" si="35"/>
        <v>169.5</v>
      </c>
    </row>
    <row r="242" spans="7:13" ht="17.25" customHeight="1" x14ac:dyDescent="0.25">
      <c r="G242" s="2" t="str">
        <f t="shared" si="29"/>
        <v>Sat</v>
      </c>
      <c r="H242" s="8">
        <f t="shared" si="34"/>
        <v>46263</v>
      </c>
      <c r="I242" s="6">
        <f t="shared" si="30"/>
        <v>0</v>
      </c>
      <c r="J242" s="6">
        <f t="shared" si="32"/>
        <v>7</v>
      </c>
      <c r="K242" s="9">
        <f t="shared" si="31"/>
        <v>0</v>
      </c>
      <c r="L242" s="10">
        <f t="shared" si="33"/>
        <v>0</v>
      </c>
      <c r="M242" s="10">
        <f t="shared" si="35"/>
        <v>169.5</v>
      </c>
    </row>
    <row r="243" spans="7:13" ht="17.25" customHeight="1" x14ac:dyDescent="0.25">
      <c r="G243" s="2" t="str">
        <f t="shared" si="29"/>
        <v>Sun</v>
      </c>
      <c r="H243" s="8">
        <f t="shared" si="34"/>
        <v>46264</v>
      </c>
      <c r="I243" s="6">
        <f t="shared" si="30"/>
        <v>0</v>
      </c>
      <c r="J243" s="6">
        <f t="shared" si="32"/>
        <v>1</v>
      </c>
      <c r="K243" s="9">
        <f t="shared" si="31"/>
        <v>0</v>
      </c>
      <c r="L243" s="10">
        <f t="shared" si="33"/>
        <v>0</v>
      </c>
      <c r="M243" s="10">
        <f t="shared" si="35"/>
        <v>169.5</v>
      </c>
    </row>
    <row r="244" spans="7:13" ht="17.25" customHeight="1" x14ac:dyDescent="0.25">
      <c r="G244" s="2" t="str">
        <f t="shared" si="29"/>
        <v>Mon</v>
      </c>
      <c r="H244" s="8">
        <f t="shared" si="34"/>
        <v>46265</v>
      </c>
      <c r="I244" s="6">
        <f t="shared" si="30"/>
        <v>0</v>
      </c>
      <c r="J244" s="6">
        <f t="shared" si="32"/>
        <v>2</v>
      </c>
      <c r="K244" s="9">
        <f t="shared" si="31"/>
        <v>1</v>
      </c>
      <c r="L244" s="10">
        <f t="shared" si="33"/>
        <v>1</v>
      </c>
      <c r="M244" s="10">
        <f t="shared" si="35"/>
        <v>170.5</v>
      </c>
    </row>
    <row r="245" spans="7:13" ht="17.25" customHeight="1" x14ac:dyDescent="0.25">
      <c r="G245" s="2" t="str">
        <f t="shared" si="29"/>
        <v>Tue</v>
      </c>
      <c r="H245" s="8">
        <f t="shared" si="34"/>
        <v>46266</v>
      </c>
      <c r="I245" s="6">
        <f t="shared" si="30"/>
        <v>0</v>
      </c>
      <c r="J245" s="6">
        <f t="shared" si="32"/>
        <v>3</v>
      </c>
      <c r="K245" s="9">
        <f t="shared" si="31"/>
        <v>1</v>
      </c>
      <c r="L245" s="10">
        <f t="shared" si="33"/>
        <v>1</v>
      </c>
      <c r="M245" s="10">
        <f t="shared" si="35"/>
        <v>171.5</v>
      </c>
    </row>
    <row r="246" spans="7:13" ht="17.25" customHeight="1" x14ac:dyDescent="0.25">
      <c r="G246" s="2" t="str">
        <f t="shared" si="29"/>
        <v>Wed</v>
      </c>
      <c r="H246" s="8">
        <f t="shared" si="34"/>
        <v>46267</v>
      </c>
      <c r="I246" s="6">
        <f t="shared" si="30"/>
        <v>0</v>
      </c>
      <c r="J246" s="6">
        <f t="shared" si="32"/>
        <v>4</v>
      </c>
      <c r="K246" s="9">
        <f t="shared" si="31"/>
        <v>1</v>
      </c>
      <c r="L246" s="10">
        <f t="shared" si="33"/>
        <v>1</v>
      </c>
      <c r="M246" s="10">
        <f t="shared" si="35"/>
        <v>172.5</v>
      </c>
    </row>
    <row r="247" spans="7:13" ht="17.25" customHeight="1" x14ac:dyDescent="0.25">
      <c r="G247" s="2" t="str">
        <f t="shared" si="29"/>
        <v>Thu</v>
      </c>
      <c r="H247" s="8">
        <f t="shared" si="34"/>
        <v>46268</v>
      </c>
      <c r="I247" s="6">
        <f t="shared" si="30"/>
        <v>0</v>
      </c>
      <c r="J247" s="6">
        <f t="shared" si="32"/>
        <v>5</v>
      </c>
      <c r="K247" s="9">
        <f t="shared" si="31"/>
        <v>1</v>
      </c>
      <c r="L247" s="10">
        <f t="shared" si="33"/>
        <v>1</v>
      </c>
      <c r="M247" s="10">
        <f t="shared" si="35"/>
        <v>173.5</v>
      </c>
    </row>
    <row r="248" spans="7:13" ht="17.25" customHeight="1" x14ac:dyDescent="0.25">
      <c r="G248" s="2" t="str">
        <f t="shared" si="29"/>
        <v>Fri</v>
      </c>
      <c r="H248" s="8">
        <f t="shared" si="34"/>
        <v>46269</v>
      </c>
      <c r="I248" s="6">
        <f t="shared" si="30"/>
        <v>0</v>
      </c>
      <c r="J248" s="6">
        <f t="shared" si="32"/>
        <v>6</v>
      </c>
      <c r="K248" s="9">
        <f t="shared" si="31"/>
        <v>1</v>
      </c>
      <c r="L248" s="10">
        <f t="shared" si="33"/>
        <v>1</v>
      </c>
      <c r="M248" s="10">
        <f t="shared" si="35"/>
        <v>174.5</v>
      </c>
    </row>
    <row r="249" spans="7:13" ht="17.25" customHeight="1" x14ac:dyDescent="0.25">
      <c r="G249" s="2" t="str">
        <f t="shared" si="29"/>
        <v>Sat</v>
      </c>
      <c r="H249" s="8">
        <f t="shared" si="34"/>
        <v>46270</v>
      </c>
      <c r="I249" s="6">
        <f t="shared" si="30"/>
        <v>0</v>
      </c>
      <c r="J249" s="6">
        <f t="shared" si="32"/>
        <v>7</v>
      </c>
      <c r="K249" s="9">
        <f t="shared" si="31"/>
        <v>0</v>
      </c>
      <c r="L249" s="10">
        <f t="shared" si="33"/>
        <v>0</v>
      </c>
      <c r="M249" s="10">
        <f t="shared" si="35"/>
        <v>174.5</v>
      </c>
    </row>
    <row r="250" spans="7:13" ht="17.25" customHeight="1" x14ac:dyDescent="0.25">
      <c r="G250" s="2" t="str">
        <f t="shared" si="29"/>
        <v>Sun</v>
      </c>
      <c r="H250" s="8">
        <f t="shared" si="34"/>
        <v>46271</v>
      </c>
      <c r="I250" s="6">
        <f t="shared" si="30"/>
        <v>0</v>
      </c>
      <c r="J250" s="6">
        <f t="shared" si="32"/>
        <v>1</v>
      </c>
      <c r="K250" s="9">
        <f t="shared" si="31"/>
        <v>0</v>
      </c>
      <c r="L250" s="10">
        <f t="shared" si="33"/>
        <v>0</v>
      </c>
      <c r="M250" s="10">
        <f t="shared" si="35"/>
        <v>174.5</v>
      </c>
    </row>
    <row r="251" spans="7:13" ht="17.25" customHeight="1" x14ac:dyDescent="0.25">
      <c r="G251" s="2" t="str">
        <f t="shared" si="29"/>
        <v>Mon</v>
      </c>
      <c r="H251" s="8">
        <f t="shared" si="34"/>
        <v>46272</v>
      </c>
      <c r="I251" s="6">
        <f t="shared" si="30"/>
        <v>0</v>
      </c>
      <c r="J251" s="6">
        <f t="shared" si="32"/>
        <v>2</v>
      </c>
      <c r="K251" s="9">
        <f t="shared" si="31"/>
        <v>1</v>
      </c>
      <c r="L251" s="10">
        <f t="shared" si="33"/>
        <v>1</v>
      </c>
      <c r="M251" s="10">
        <f t="shared" si="35"/>
        <v>175.5</v>
      </c>
    </row>
    <row r="252" spans="7:13" ht="17.25" customHeight="1" x14ac:dyDescent="0.25">
      <c r="G252" s="2" t="str">
        <f t="shared" si="29"/>
        <v>Tue</v>
      </c>
      <c r="H252" s="8">
        <f t="shared" si="34"/>
        <v>46273</v>
      </c>
      <c r="I252" s="6">
        <f t="shared" si="30"/>
        <v>0</v>
      </c>
      <c r="J252" s="6">
        <f t="shared" si="32"/>
        <v>3</v>
      </c>
      <c r="K252" s="9">
        <f t="shared" si="31"/>
        <v>1</v>
      </c>
      <c r="L252" s="10">
        <f t="shared" si="33"/>
        <v>1</v>
      </c>
      <c r="M252" s="10">
        <f t="shared" si="35"/>
        <v>176.5</v>
      </c>
    </row>
    <row r="253" spans="7:13" ht="17.25" customHeight="1" x14ac:dyDescent="0.25">
      <c r="G253" s="2" t="str">
        <f t="shared" si="29"/>
        <v>Wed</v>
      </c>
      <c r="H253" s="8">
        <f t="shared" si="34"/>
        <v>46274</v>
      </c>
      <c r="I253" s="6">
        <f t="shared" si="30"/>
        <v>0</v>
      </c>
      <c r="J253" s="6">
        <f t="shared" si="32"/>
        <v>4</v>
      </c>
      <c r="K253" s="9">
        <f t="shared" si="31"/>
        <v>1</v>
      </c>
      <c r="L253" s="10">
        <f t="shared" si="33"/>
        <v>1</v>
      </c>
      <c r="M253" s="10">
        <f t="shared" si="35"/>
        <v>177.5</v>
      </c>
    </row>
    <row r="254" spans="7:13" ht="17.25" customHeight="1" x14ac:dyDescent="0.25">
      <c r="G254" s="2" t="str">
        <f t="shared" si="29"/>
        <v>Thu</v>
      </c>
      <c r="H254" s="8">
        <f t="shared" si="34"/>
        <v>46275</v>
      </c>
      <c r="I254" s="6">
        <f t="shared" si="30"/>
        <v>0</v>
      </c>
      <c r="J254" s="6">
        <f t="shared" si="32"/>
        <v>5</v>
      </c>
      <c r="K254" s="9">
        <f t="shared" si="31"/>
        <v>1</v>
      </c>
      <c r="L254" s="10">
        <f t="shared" si="33"/>
        <v>1</v>
      </c>
      <c r="M254" s="10">
        <f t="shared" si="35"/>
        <v>178.5</v>
      </c>
    </row>
    <row r="255" spans="7:13" ht="17.25" customHeight="1" x14ac:dyDescent="0.25">
      <c r="G255" s="2" t="str">
        <f t="shared" si="29"/>
        <v>Fri</v>
      </c>
      <c r="H255" s="8">
        <f t="shared" si="34"/>
        <v>46276</v>
      </c>
      <c r="I255" s="6">
        <f t="shared" si="30"/>
        <v>0</v>
      </c>
      <c r="J255" s="6">
        <f t="shared" si="32"/>
        <v>6</v>
      </c>
      <c r="K255" s="9">
        <f t="shared" si="31"/>
        <v>1</v>
      </c>
      <c r="L255" s="10">
        <f t="shared" si="33"/>
        <v>1</v>
      </c>
      <c r="M255" s="10">
        <f t="shared" si="35"/>
        <v>179.5</v>
      </c>
    </row>
    <row r="256" spans="7:13" ht="17.25" customHeight="1" x14ac:dyDescent="0.25">
      <c r="G256" s="2" t="str">
        <f t="shared" si="29"/>
        <v>Sat</v>
      </c>
      <c r="H256" s="8">
        <f t="shared" si="34"/>
        <v>46277</v>
      </c>
      <c r="I256" s="6">
        <f t="shared" si="30"/>
        <v>0</v>
      </c>
      <c r="J256" s="6">
        <f t="shared" si="32"/>
        <v>7</v>
      </c>
      <c r="K256" s="9">
        <f t="shared" si="31"/>
        <v>0</v>
      </c>
      <c r="L256" s="10">
        <f t="shared" si="33"/>
        <v>0</v>
      </c>
      <c r="M256" s="10">
        <f t="shared" si="35"/>
        <v>179.5</v>
      </c>
    </row>
    <row r="257" spans="7:13" ht="17.25" customHeight="1" x14ac:dyDescent="0.25">
      <c r="G257" s="2" t="str">
        <f t="shared" si="29"/>
        <v>Sun</v>
      </c>
      <c r="H257" s="8">
        <f t="shared" si="34"/>
        <v>46278</v>
      </c>
      <c r="I257" s="6">
        <f t="shared" si="30"/>
        <v>0</v>
      </c>
      <c r="J257" s="6">
        <f t="shared" si="32"/>
        <v>1</v>
      </c>
      <c r="K257" s="9">
        <f t="shared" si="31"/>
        <v>0</v>
      </c>
      <c r="L257" s="10">
        <f t="shared" si="33"/>
        <v>0</v>
      </c>
      <c r="M257" s="10">
        <f t="shared" si="35"/>
        <v>179.5</v>
      </c>
    </row>
    <row r="258" spans="7:13" ht="17.25" customHeight="1" x14ac:dyDescent="0.25">
      <c r="G258" s="2" t="str">
        <f t="shared" ref="G258:G321" si="36">TEXT(H258,"ddd")</f>
        <v>Mon</v>
      </c>
      <c r="H258" s="8">
        <f t="shared" si="34"/>
        <v>46279</v>
      </c>
      <c r="I258" s="6">
        <f t="shared" ref="I258:I321" si="37">IF(ISNUMBER(VLOOKUP(H258,$T$3:$X$18,5,FALSE)),1,0)</f>
        <v>1</v>
      </c>
      <c r="J258" s="6">
        <f t="shared" si="32"/>
        <v>2</v>
      </c>
      <c r="K258" s="9">
        <f t="shared" ref="K258:K321" si="38">IF(I258=1,$B$2,IF(AND(J258&lt;7,J258&gt;1),1,0))</f>
        <v>0.5</v>
      </c>
      <c r="L258" s="10">
        <f t="shared" si="33"/>
        <v>0.5</v>
      </c>
      <c r="M258" s="10">
        <f t="shared" si="35"/>
        <v>180</v>
      </c>
    </row>
    <row r="259" spans="7:13" ht="17.25" customHeight="1" x14ac:dyDescent="0.25">
      <c r="G259" s="2" t="str">
        <f t="shared" si="36"/>
        <v>Tue</v>
      </c>
      <c r="H259" s="8">
        <f t="shared" si="34"/>
        <v>46280</v>
      </c>
      <c r="I259" s="6">
        <f t="shared" si="37"/>
        <v>0</v>
      </c>
      <c r="J259" s="6">
        <f t="shared" ref="J259:J322" si="39">WEEKDAY(H259)</f>
        <v>3</v>
      </c>
      <c r="K259" s="9">
        <f t="shared" si="38"/>
        <v>1</v>
      </c>
      <c r="L259" s="10">
        <f t="shared" ref="L259:L322" si="40">+K259</f>
        <v>1</v>
      </c>
      <c r="M259" s="10">
        <f t="shared" si="35"/>
        <v>181</v>
      </c>
    </row>
    <row r="260" spans="7:13" ht="17.25" customHeight="1" x14ac:dyDescent="0.25">
      <c r="G260" s="2" t="str">
        <f t="shared" si="36"/>
        <v>Wed</v>
      </c>
      <c r="H260" s="8">
        <f t="shared" ref="H260:H323" si="41">+H259+1</f>
        <v>46281</v>
      </c>
      <c r="I260" s="6">
        <f t="shared" si="37"/>
        <v>0</v>
      </c>
      <c r="J260" s="6">
        <f t="shared" si="39"/>
        <v>4</v>
      </c>
      <c r="K260" s="9">
        <f t="shared" si="38"/>
        <v>1</v>
      </c>
      <c r="L260" s="10">
        <f t="shared" si="40"/>
        <v>1</v>
      </c>
      <c r="M260" s="10">
        <f t="shared" ref="M260:M323" si="42">+L260+M259</f>
        <v>182</v>
      </c>
    </row>
    <row r="261" spans="7:13" ht="17.25" customHeight="1" x14ac:dyDescent="0.25">
      <c r="G261" s="2" t="str">
        <f t="shared" si="36"/>
        <v>Thu</v>
      </c>
      <c r="H261" s="8">
        <f t="shared" si="41"/>
        <v>46282</v>
      </c>
      <c r="I261" s="6">
        <f t="shared" si="37"/>
        <v>0</v>
      </c>
      <c r="J261" s="6">
        <f t="shared" si="39"/>
        <v>5</v>
      </c>
      <c r="K261" s="9">
        <f t="shared" si="38"/>
        <v>1</v>
      </c>
      <c r="L261" s="10">
        <f t="shared" si="40"/>
        <v>1</v>
      </c>
      <c r="M261" s="10">
        <f t="shared" si="42"/>
        <v>183</v>
      </c>
    </row>
    <row r="262" spans="7:13" ht="17.25" customHeight="1" x14ac:dyDescent="0.25">
      <c r="G262" s="2" t="str">
        <f t="shared" si="36"/>
        <v>Fri</v>
      </c>
      <c r="H262" s="8">
        <f t="shared" si="41"/>
        <v>46283</v>
      </c>
      <c r="I262" s="6">
        <f t="shared" si="37"/>
        <v>0</v>
      </c>
      <c r="J262" s="6">
        <f t="shared" si="39"/>
        <v>6</v>
      </c>
      <c r="K262" s="9">
        <f t="shared" si="38"/>
        <v>1</v>
      </c>
      <c r="L262" s="10">
        <f t="shared" si="40"/>
        <v>1</v>
      </c>
      <c r="M262" s="10">
        <f t="shared" si="42"/>
        <v>184</v>
      </c>
    </row>
    <row r="263" spans="7:13" ht="17.25" customHeight="1" x14ac:dyDescent="0.25">
      <c r="G263" s="2" t="str">
        <f t="shared" si="36"/>
        <v>Sat</v>
      </c>
      <c r="H263" s="8">
        <f t="shared" si="41"/>
        <v>46284</v>
      </c>
      <c r="I263" s="6">
        <f t="shared" si="37"/>
        <v>0</v>
      </c>
      <c r="J263" s="6">
        <f t="shared" si="39"/>
        <v>7</v>
      </c>
      <c r="K263" s="9">
        <f t="shared" si="38"/>
        <v>0</v>
      </c>
      <c r="L263" s="10">
        <f t="shared" si="40"/>
        <v>0</v>
      </c>
      <c r="M263" s="10">
        <f t="shared" si="42"/>
        <v>184</v>
      </c>
    </row>
    <row r="264" spans="7:13" ht="17.25" customHeight="1" x14ac:dyDescent="0.25">
      <c r="G264" s="2" t="str">
        <f t="shared" si="36"/>
        <v>Sun</v>
      </c>
      <c r="H264" s="8">
        <f t="shared" si="41"/>
        <v>46285</v>
      </c>
      <c r="I264" s="6">
        <f t="shared" si="37"/>
        <v>0</v>
      </c>
      <c r="J264" s="6">
        <f t="shared" si="39"/>
        <v>1</v>
      </c>
      <c r="K264" s="9">
        <f t="shared" si="38"/>
        <v>0</v>
      </c>
      <c r="L264" s="10">
        <f t="shared" si="40"/>
        <v>0</v>
      </c>
      <c r="M264" s="10">
        <f t="shared" si="42"/>
        <v>184</v>
      </c>
    </row>
    <row r="265" spans="7:13" ht="17.25" customHeight="1" x14ac:dyDescent="0.25">
      <c r="G265" s="2" t="str">
        <f t="shared" si="36"/>
        <v>Mon</v>
      </c>
      <c r="H265" s="8">
        <f t="shared" si="41"/>
        <v>46286</v>
      </c>
      <c r="I265" s="6">
        <f t="shared" si="37"/>
        <v>0</v>
      </c>
      <c r="J265" s="6">
        <f t="shared" si="39"/>
        <v>2</v>
      </c>
      <c r="K265" s="9">
        <f t="shared" si="38"/>
        <v>1</v>
      </c>
      <c r="L265" s="10">
        <f t="shared" si="40"/>
        <v>1</v>
      </c>
      <c r="M265" s="10">
        <f t="shared" si="42"/>
        <v>185</v>
      </c>
    </row>
    <row r="266" spans="7:13" ht="17.25" customHeight="1" x14ac:dyDescent="0.25">
      <c r="G266" s="2" t="str">
        <f t="shared" si="36"/>
        <v>Tue</v>
      </c>
      <c r="H266" s="8">
        <f t="shared" si="41"/>
        <v>46287</v>
      </c>
      <c r="I266" s="6">
        <f t="shared" si="37"/>
        <v>0</v>
      </c>
      <c r="J266" s="6">
        <f t="shared" si="39"/>
        <v>3</v>
      </c>
      <c r="K266" s="9">
        <f t="shared" si="38"/>
        <v>1</v>
      </c>
      <c r="L266" s="10">
        <f t="shared" si="40"/>
        <v>1</v>
      </c>
      <c r="M266" s="10">
        <f t="shared" si="42"/>
        <v>186</v>
      </c>
    </row>
    <row r="267" spans="7:13" ht="17.25" customHeight="1" x14ac:dyDescent="0.25">
      <c r="G267" s="2" t="str">
        <f t="shared" si="36"/>
        <v>Wed</v>
      </c>
      <c r="H267" s="8">
        <f t="shared" si="41"/>
        <v>46288</v>
      </c>
      <c r="I267" s="6">
        <f t="shared" si="37"/>
        <v>0</v>
      </c>
      <c r="J267" s="6">
        <f t="shared" si="39"/>
        <v>4</v>
      </c>
      <c r="K267" s="9">
        <f t="shared" si="38"/>
        <v>1</v>
      </c>
      <c r="L267" s="10">
        <f t="shared" si="40"/>
        <v>1</v>
      </c>
      <c r="M267" s="10">
        <f t="shared" si="42"/>
        <v>187</v>
      </c>
    </row>
    <row r="268" spans="7:13" ht="17.25" customHeight="1" x14ac:dyDescent="0.25">
      <c r="G268" s="2" t="str">
        <f t="shared" si="36"/>
        <v>Thu</v>
      </c>
      <c r="H268" s="8">
        <f t="shared" si="41"/>
        <v>46289</v>
      </c>
      <c r="I268" s="6">
        <f t="shared" si="37"/>
        <v>0</v>
      </c>
      <c r="J268" s="6">
        <f t="shared" si="39"/>
        <v>5</v>
      </c>
      <c r="K268" s="9">
        <f t="shared" si="38"/>
        <v>1</v>
      </c>
      <c r="L268" s="10">
        <f t="shared" si="40"/>
        <v>1</v>
      </c>
      <c r="M268" s="10">
        <f t="shared" si="42"/>
        <v>188</v>
      </c>
    </row>
    <row r="269" spans="7:13" ht="17.25" customHeight="1" x14ac:dyDescent="0.25">
      <c r="G269" s="2" t="str">
        <f t="shared" si="36"/>
        <v>Fri</v>
      </c>
      <c r="H269" s="8">
        <f t="shared" si="41"/>
        <v>46290</v>
      </c>
      <c r="I269" s="6">
        <f t="shared" si="37"/>
        <v>0</v>
      </c>
      <c r="J269" s="6">
        <f t="shared" si="39"/>
        <v>6</v>
      </c>
      <c r="K269" s="9">
        <f t="shared" si="38"/>
        <v>1</v>
      </c>
      <c r="L269" s="10">
        <f t="shared" si="40"/>
        <v>1</v>
      </c>
      <c r="M269" s="10">
        <f t="shared" si="42"/>
        <v>189</v>
      </c>
    </row>
    <row r="270" spans="7:13" ht="17.25" customHeight="1" x14ac:dyDescent="0.25">
      <c r="G270" s="2" t="str">
        <f t="shared" si="36"/>
        <v>Sat</v>
      </c>
      <c r="H270" s="8">
        <f t="shared" si="41"/>
        <v>46291</v>
      </c>
      <c r="I270" s="6">
        <f t="shared" si="37"/>
        <v>0</v>
      </c>
      <c r="J270" s="6">
        <f t="shared" si="39"/>
        <v>7</v>
      </c>
      <c r="K270" s="9">
        <f t="shared" si="38"/>
        <v>0</v>
      </c>
      <c r="L270" s="10">
        <f t="shared" si="40"/>
        <v>0</v>
      </c>
      <c r="M270" s="10">
        <f t="shared" si="42"/>
        <v>189</v>
      </c>
    </row>
    <row r="271" spans="7:13" ht="17.25" customHeight="1" x14ac:dyDescent="0.25">
      <c r="G271" s="2" t="str">
        <f t="shared" si="36"/>
        <v>Sun</v>
      </c>
      <c r="H271" s="8">
        <f t="shared" si="41"/>
        <v>46292</v>
      </c>
      <c r="I271" s="6">
        <f t="shared" si="37"/>
        <v>0</v>
      </c>
      <c r="J271" s="6">
        <f t="shared" si="39"/>
        <v>1</v>
      </c>
      <c r="K271" s="9">
        <f t="shared" si="38"/>
        <v>0</v>
      </c>
      <c r="L271" s="10">
        <f t="shared" si="40"/>
        <v>0</v>
      </c>
      <c r="M271" s="10">
        <f t="shared" si="42"/>
        <v>189</v>
      </c>
    </row>
    <row r="272" spans="7:13" ht="17.25" customHeight="1" x14ac:dyDescent="0.25">
      <c r="G272" s="2" t="str">
        <f t="shared" si="36"/>
        <v>Mon</v>
      </c>
      <c r="H272" s="8">
        <f t="shared" si="41"/>
        <v>46293</v>
      </c>
      <c r="I272" s="6">
        <f t="shared" si="37"/>
        <v>0</v>
      </c>
      <c r="J272" s="6">
        <f t="shared" si="39"/>
        <v>2</v>
      </c>
      <c r="K272" s="9">
        <f t="shared" si="38"/>
        <v>1</v>
      </c>
      <c r="L272" s="10">
        <f t="shared" si="40"/>
        <v>1</v>
      </c>
      <c r="M272" s="10">
        <f t="shared" si="42"/>
        <v>190</v>
      </c>
    </row>
    <row r="273" spans="7:13" ht="17.25" customHeight="1" x14ac:dyDescent="0.25">
      <c r="G273" s="2" t="str">
        <f t="shared" si="36"/>
        <v>Tue</v>
      </c>
      <c r="H273" s="8">
        <f t="shared" si="41"/>
        <v>46294</v>
      </c>
      <c r="I273" s="6">
        <f t="shared" si="37"/>
        <v>0</v>
      </c>
      <c r="J273" s="6">
        <f t="shared" si="39"/>
        <v>3</v>
      </c>
      <c r="K273" s="9">
        <f t="shared" si="38"/>
        <v>1</v>
      </c>
      <c r="L273" s="10">
        <f t="shared" si="40"/>
        <v>1</v>
      </c>
      <c r="M273" s="10">
        <f t="shared" si="42"/>
        <v>191</v>
      </c>
    </row>
    <row r="274" spans="7:13" ht="17.25" customHeight="1" x14ac:dyDescent="0.25">
      <c r="G274" s="2" t="str">
        <f t="shared" si="36"/>
        <v>Wed</v>
      </c>
      <c r="H274" s="8">
        <f t="shared" si="41"/>
        <v>46295</v>
      </c>
      <c r="I274" s="6">
        <f t="shared" si="37"/>
        <v>0</v>
      </c>
      <c r="J274" s="6">
        <f t="shared" si="39"/>
        <v>4</v>
      </c>
      <c r="K274" s="9">
        <f t="shared" si="38"/>
        <v>1</v>
      </c>
      <c r="L274" s="10">
        <f t="shared" si="40"/>
        <v>1</v>
      </c>
      <c r="M274" s="10">
        <f t="shared" si="42"/>
        <v>192</v>
      </c>
    </row>
    <row r="275" spans="7:13" ht="17.25" customHeight="1" x14ac:dyDescent="0.25">
      <c r="G275" s="2" t="str">
        <f t="shared" si="36"/>
        <v>Thu</v>
      </c>
      <c r="H275" s="8">
        <f t="shared" si="41"/>
        <v>46296</v>
      </c>
      <c r="I275" s="6">
        <f t="shared" si="37"/>
        <v>0</v>
      </c>
      <c r="J275" s="6">
        <f t="shared" si="39"/>
        <v>5</v>
      </c>
      <c r="K275" s="9">
        <f t="shared" si="38"/>
        <v>1</v>
      </c>
      <c r="L275" s="10">
        <f t="shared" si="40"/>
        <v>1</v>
      </c>
      <c r="M275" s="10">
        <f t="shared" si="42"/>
        <v>193</v>
      </c>
    </row>
    <row r="276" spans="7:13" ht="17.25" customHeight="1" x14ac:dyDescent="0.25">
      <c r="G276" s="2" t="str">
        <f t="shared" si="36"/>
        <v>Fri</v>
      </c>
      <c r="H276" s="8">
        <f t="shared" si="41"/>
        <v>46297</v>
      </c>
      <c r="I276" s="6">
        <f t="shared" si="37"/>
        <v>1</v>
      </c>
      <c r="J276" s="6">
        <f t="shared" si="39"/>
        <v>6</v>
      </c>
      <c r="K276" s="9">
        <f t="shared" si="38"/>
        <v>0.5</v>
      </c>
      <c r="L276" s="10">
        <f t="shared" si="40"/>
        <v>0.5</v>
      </c>
      <c r="M276" s="10">
        <f t="shared" si="42"/>
        <v>193.5</v>
      </c>
    </row>
    <row r="277" spans="7:13" ht="17.25" customHeight="1" x14ac:dyDescent="0.25">
      <c r="G277" s="2" t="str">
        <f t="shared" si="36"/>
        <v>Sat</v>
      </c>
      <c r="H277" s="8">
        <f t="shared" si="41"/>
        <v>46298</v>
      </c>
      <c r="I277" s="6">
        <f t="shared" si="37"/>
        <v>0</v>
      </c>
      <c r="J277" s="6">
        <f t="shared" si="39"/>
        <v>7</v>
      </c>
      <c r="K277" s="9">
        <f t="shared" si="38"/>
        <v>0</v>
      </c>
      <c r="L277" s="10">
        <f t="shared" si="40"/>
        <v>0</v>
      </c>
      <c r="M277" s="10">
        <f t="shared" si="42"/>
        <v>193.5</v>
      </c>
    </row>
    <row r="278" spans="7:13" ht="17.25" customHeight="1" x14ac:dyDescent="0.25">
      <c r="G278" s="2" t="str">
        <f t="shared" si="36"/>
        <v>Sun</v>
      </c>
      <c r="H278" s="8">
        <f t="shared" si="41"/>
        <v>46299</v>
      </c>
      <c r="I278" s="6">
        <f t="shared" si="37"/>
        <v>0</v>
      </c>
      <c r="J278" s="6">
        <f t="shared" si="39"/>
        <v>1</v>
      </c>
      <c r="K278" s="9">
        <f t="shared" si="38"/>
        <v>0</v>
      </c>
      <c r="L278" s="10">
        <f t="shared" si="40"/>
        <v>0</v>
      </c>
      <c r="M278" s="10">
        <f t="shared" si="42"/>
        <v>193.5</v>
      </c>
    </row>
    <row r="279" spans="7:13" ht="17.25" customHeight="1" x14ac:dyDescent="0.25">
      <c r="G279" s="2" t="str">
        <f t="shared" si="36"/>
        <v>Mon</v>
      </c>
      <c r="H279" s="8">
        <f t="shared" si="41"/>
        <v>46300</v>
      </c>
      <c r="I279" s="6">
        <f t="shared" si="37"/>
        <v>0</v>
      </c>
      <c r="J279" s="6">
        <f t="shared" si="39"/>
        <v>2</v>
      </c>
      <c r="K279" s="9">
        <f t="shared" si="38"/>
        <v>1</v>
      </c>
      <c r="L279" s="10">
        <f t="shared" si="40"/>
        <v>1</v>
      </c>
      <c r="M279" s="10">
        <f t="shared" si="42"/>
        <v>194.5</v>
      </c>
    </row>
    <row r="280" spans="7:13" ht="17.25" customHeight="1" x14ac:dyDescent="0.25">
      <c r="G280" s="2" t="str">
        <f t="shared" si="36"/>
        <v>Tue</v>
      </c>
      <c r="H280" s="8">
        <f t="shared" si="41"/>
        <v>46301</v>
      </c>
      <c r="I280" s="6">
        <f t="shared" si="37"/>
        <v>0</v>
      </c>
      <c r="J280" s="6">
        <f t="shared" si="39"/>
        <v>3</v>
      </c>
      <c r="K280" s="9">
        <f t="shared" si="38"/>
        <v>1</v>
      </c>
      <c r="L280" s="10">
        <f t="shared" si="40"/>
        <v>1</v>
      </c>
      <c r="M280" s="10">
        <f t="shared" si="42"/>
        <v>195.5</v>
      </c>
    </row>
    <row r="281" spans="7:13" ht="17.25" customHeight="1" x14ac:dyDescent="0.25">
      <c r="G281" s="2" t="str">
        <f t="shared" si="36"/>
        <v>Wed</v>
      </c>
      <c r="H281" s="8">
        <f t="shared" si="41"/>
        <v>46302</v>
      </c>
      <c r="I281" s="6">
        <f t="shared" si="37"/>
        <v>0</v>
      </c>
      <c r="J281" s="6">
        <f t="shared" si="39"/>
        <v>4</v>
      </c>
      <c r="K281" s="9">
        <f t="shared" si="38"/>
        <v>1</v>
      </c>
      <c r="L281" s="10">
        <f t="shared" si="40"/>
        <v>1</v>
      </c>
      <c r="M281" s="10">
        <f t="shared" si="42"/>
        <v>196.5</v>
      </c>
    </row>
    <row r="282" spans="7:13" ht="17.25" customHeight="1" x14ac:dyDescent="0.25">
      <c r="G282" s="2" t="str">
        <f t="shared" si="36"/>
        <v>Thu</v>
      </c>
      <c r="H282" s="8">
        <f t="shared" si="41"/>
        <v>46303</v>
      </c>
      <c r="I282" s="6">
        <f t="shared" si="37"/>
        <v>0</v>
      </c>
      <c r="J282" s="6">
        <f t="shared" si="39"/>
        <v>5</v>
      </c>
      <c r="K282" s="9">
        <f t="shared" si="38"/>
        <v>1</v>
      </c>
      <c r="L282" s="10">
        <f t="shared" si="40"/>
        <v>1</v>
      </c>
      <c r="M282" s="10">
        <f t="shared" si="42"/>
        <v>197.5</v>
      </c>
    </row>
    <row r="283" spans="7:13" ht="17.25" customHeight="1" x14ac:dyDescent="0.25">
      <c r="G283" s="2" t="str">
        <f t="shared" si="36"/>
        <v>Fri</v>
      </c>
      <c r="H283" s="8">
        <f t="shared" si="41"/>
        <v>46304</v>
      </c>
      <c r="I283" s="6">
        <f t="shared" si="37"/>
        <v>0</v>
      </c>
      <c r="J283" s="6">
        <f t="shared" si="39"/>
        <v>6</v>
      </c>
      <c r="K283" s="9">
        <f t="shared" si="38"/>
        <v>1</v>
      </c>
      <c r="L283" s="10">
        <f t="shared" si="40"/>
        <v>1</v>
      </c>
      <c r="M283" s="10">
        <f t="shared" si="42"/>
        <v>198.5</v>
      </c>
    </row>
    <row r="284" spans="7:13" ht="17.25" customHeight="1" x14ac:dyDescent="0.25">
      <c r="G284" s="2" t="str">
        <f t="shared" si="36"/>
        <v>Sat</v>
      </c>
      <c r="H284" s="8">
        <f t="shared" si="41"/>
        <v>46305</v>
      </c>
      <c r="I284" s="6">
        <f t="shared" si="37"/>
        <v>0</v>
      </c>
      <c r="J284" s="6">
        <f t="shared" si="39"/>
        <v>7</v>
      </c>
      <c r="K284" s="9">
        <f t="shared" si="38"/>
        <v>0</v>
      </c>
      <c r="L284" s="10">
        <f t="shared" si="40"/>
        <v>0</v>
      </c>
      <c r="M284" s="10">
        <f t="shared" si="42"/>
        <v>198.5</v>
      </c>
    </row>
    <row r="285" spans="7:13" ht="17.25" customHeight="1" x14ac:dyDescent="0.25">
      <c r="G285" s="2" t="str">
        <f t="shared" si="36"/>
        <v>Sun</v>
      </c>
      <c r="H285" s="8">
        <f t="shared" si="41"/>
        <v>46306</v>
      </c>
      <c r="I285" s="6">
        <f t="shared" si="37"/>
        <v>0</v>
      </c>
      <c r="J285" s="6">
        <f t="shared" si="39"/>
        <v>1</v>
      </c>
      <c r="K285" s="9">
        <f t="shared" si="38"/>
        <v>0</v>
      </c>
      <c r="L285" s="10">
        <f t="shared" si="40"/>
        <v>0</v>
      </c>
      <c r="M285" s="10">
        <f t="shared" si="42"/>
        <v>198.5</v>
      </c>
    </row>
    <row r="286" spans="7:13" ht="17.25" customHeight="1" x14ac:dyDescent="0.25">
      <c r="G286" s="2" t="str">
        <f t="shared" si="36"/>
        <v>Mon</v>
      </c>
      <c r="H286" s="8">
        <f t="shared" si="41"/>
        <v>46307</v>
      </c>
      <c r="I286" s="6">
        <f t="shared" si="37"/>
        <v>0</v>
      </c>
      <c r="J286" s="6">
        <f t="shared" si="39"/>
        <v>2</v>
      </c>
      <c r="K286" s="9">
        <f t="shared" si="38"/>
        <v>1</v>
      </c>
      <c r="L286" s="10">
        <f t="shared" si="40"/>
        <v>1</v>
      </c>
      <c r="M286" s="10">
        <f t="shared" si="42"/>
        <v>199.5</v>
      </c>
    </row>
    <row r="287" spans="7:13" ht="17.25" customHeight="1" x14ac:dyDescent="0.25">
      <c r="G287" s="2" t="str">
        <f t="shared" si="36"/>
        <v>Tue</v>
      </c>
      <c r="H287" s="8">
        <f t="shared" si="41"/>
        <v>46308</v>
      </c>
      <c r="I287" s="6">
        <f t="shared" si="37"/>
        <v>0</v>
      </c>
      <c r="J287" s="6">
        <f t="shared" si="39"/>
        <v>3</v>
      </c>
      <c r="K287" s="9">
        <f t="shared" si="38"/>
        <v>1</v>
      </c>
      <c r="L287" s="10">
        <f t="shared" si="40"/>
        <v>1</v>
      </c>
      <c r="M287" s="10">
        <f t="shared" si="42"/>
        <v>200.5</v>
      </c>
    </row>
    <row r="288" spans="7:13" ht="17.25" customHeight="1" x14ac:dyDescent="0.25">
      <c r="G288" s="2" t="str">
        <f t="shared" si="36"/>
        <v>Wed</v>
      </c>
      <c r="H288" s="8">
        <f t="shared" si="41"/>
        <v>46309</v>
      </c>
      <c r="I288" s="6">
        <f t="shared" si="37"/>
        <v>0</v>
      </c>
      <c r="J288" s="6">
        <f t="shared" si="39"/>
        <v>4</v>
      </c>
      <c r="K288" s="9">
        <f t="shared" si="38"/>
        <v>1</v>
      </c>
      <c r="L288" s="10">
        <f t="shared" si="40"/>
        <v>1</v>
      </c>
      <c r="M288" s="10">
        <f t="shared" si="42"/>
        <v>201.5</v>
      </c>
    </row>
    <row r="289" spans="7:13" ht="17.25" customHeight="1" x14ac:dyDescent="0.25">
      <c r="G289" s="2" t="str">
        <f t="shared" si="36"/>
        <v>Thu</v>
      </c>
      <c r="H289" s="8">
        <f t="shared" si="41"/>
        <v>46310</v>
      </c>
      <c r="I289" s="6">
        <f t="shared" si="37"/>
        <v>0</v>
      </c>
      <c r="J289" s="6">
        <f t="shared" si="39"/>
        <v>5</v>
      </c>
      <c r="K289" s="9">
        <f t="shared" si="38"/>
        <v>1</v>
      </c>
      <c r="L289" s="10">
        <f t="shared" si="40"/>
        <v>1</v>
      </c>
      <c r="M289" s="10">
        <f t="shared" si="42"/>
        <v>202.5</v>
      </c>
    </row>
    <row r="290" spans="7:13" ht="17.25" customHeight="1" x14ac:dyDescent="0.25">
      <c r="G290" s="2" t="str">
        <f t="shared" si="36"/>
        <v>Fri</v>
      </c>
      <c r="H290" s="8">
        <f t="shared" si="41"/>
        <v>46311</v>
      </c>
      <c r="I290" s="6">
        <f t="shared" si="37"/>
        <v>0</v>
      </c>
      <c r="J290" s="6">
        <f t="shared" si="39"/>
        <v>6</v>
      </c>
      <c r="K290" s="9">
        <f t="shared" si="38"/>
        <v>1</v>
      </c>
      <c r="L290" s="10">
        <f t="shared" si="40"/>
        <v>1</v>
      </c>
      <c r="M290" s="10">
        <f t="shared" si="42"/>
        <v>203.5</v>
      </c>
    </row>
    <row r="291" spans="7:13" ht="17.25" customHeight="1" x14ac:dyDescent="0.25">
      <c r="G291" s="2" t="str">
        <f t="shared" si="36"/>
        <v>Sat</v>
      </c>
      <c r="H291" s="8">
        <f t="shared" si="41"/>
        <v>46312</v>
      </c>
      <c r="I291" s="6">
        <f t="shared" si="37"/>
        <v>0</v>
      </c>
      <c r="J291" s="6">
        <f t="shared" si="39"/>
        <v>7</v>
      </c>
      <c r="K291" s="9">
        <f t="shared" si="38"/>
        <v>0</v>
      </c>
      <c r="L291" s="10">
        <f t="shared" si="40"/>
        <v>0</v>
      </c>
      <c r="M291" s="10">
        <f t="shared" si="42"/>
        <v>203.5</v>
      </c>
    </row>
    <row r="292" spans="7:13" ht="17.25" customHeight="1" x14ac:dyDescent="0.25">
      <c r="G292" s="2" t="str">
        <f t="shared" si="36"/>
        <v>Sun</v>
      </c>
      <c r="H292" s="8">
        <f t="shared" si="41"/>
        <v>46313</v>
      </c>
      <c r="I292" s="6">
        <f t="shared" si="37"/>
        <v>0</v>
      </c>
      <c r="J292" s="6">
        <f t="shared" si="39"/>
        <v>1</v>
      </c>
      <c r="K292" s="9">
        <f t="shared" si="38"/>
        <v>0</v>
      </c>
      <c r="L292" s="10">
        <f t="shared" si="40"/>
        <v>0</v>
      </c>
      <c r="M292" s="10">
        <f t="shared" si="42"/>
        <v>203.5</v>
      </c>
    </row>
    <row r="293" spans="7:13" ht="17.25" customHeight="1" x14ac:dyDescent="0.25">
      <c r="G293" s="2" t="str">
        <f t="shared" si="36"/>
        <v>Mon</v>
      </c>
      <c r="H293" s="8">
        <f t="shared" si="41"/>
        <v>46314</v>
      </c>
      <c r="I293" s="6">
        <f t="shared" si="37"/>
        <v>0</v>
      </c>
      <c r="J293" s="6">
        <f t="shared" si="39"/>
        <v>2</v>
      </c>
      <c r="K293" s="9">
        <f t="shared" si="38"/>
        <v>1</v>
      </c>
      <c r="L293" s="10">
        <f t="shared" si="40"/>
        <v>1</v>
      </c>
      <c r="M293" s="10">
        <f t="shared" si="42"/>
        <v>204.5</v>
      </c>
    </row>
    <row r="294" spans="7:13" ht="17.25" customHeight="1" x14ac:dyDescent="0.25">
      <c r="G294" s="2" t="str">
        <f t="shared" si="36"/>
        <v>Tue</v>
      </c>
      <c r="H294" s="8">
        <f t="shared" si="41"/>
        <v>46315</v>
      </c>
      <c r="I294" s="6">
        <f t="shared" si="37"/>
        <v>1</v>
      </c>
      <c r="J294" s="6">
        <f t="shared" si="39"/>
        <v>3</v>
      </c>
      <c r="K294" s="9">
        <f t="shared" si="38"/>
        <v>0.5</v>
      </c>
      <c r="L294" s="10">
        <f t="shared" si="40"/>
        <v>0.5</v>
      </c>
      <c r="M294" s="10">
        <f t="shared" si="42"/>
        <v>205</v>
      </c>
    </row>
    <row r="295" spans="7:13" ht="17.25" customHeight="1" x14ac:dyDescent="0.25">
      <c r="G295" s="2" t="str">
        <f t="shared" si="36"/>
        <v>Wed</v>
      </c>
      <c r="H295" s="8">
        <f t="shared" si="41"/>
        <v>46316</v>
      </c>
      <c r="I295" s="6">
        <f t="shared" si="37"/>
        <v>0</v>
      </c>
      <c r="J295" s="6">
        <f t="shared" si="39"/>
        <v>4</v>
      </c>
      <c r="K295" s="9">
        <f t="shared" si="38"/>
        <v>1</v>
      </c>
      <c r="L295" s="10">
        <f t="shared" si="40"/>
        <v>1</v>
      </c>
      <c r="M295" s="10">
        <f t="shared" si="42"/>
        <v>206</v>
      </c>
    </row>
    <row r="296" spans="7:13" ht="17.25" customHeight="1" x14ac:dyDescent="0.25">
      <c r="G296" s="2" t="str">
        <f t="shared" si="36"/>
        <v>Thu</v>
      </c>
      <c r="H296" s="8">
        <f t="shared" si="41"/>
        <v>46317</v>
      </c>
      <c r="I296" s="6">
        <f t="shared" si="37"/>
        <v>0</v>
      </c>
      <c r="J296" s="6">
        <f t="shared" si="39"/>
        <v>5</v>
      </c>
      <c r="K296" s="9">
        <f t="shared" si="38"/>
        <v>1</v>
      </c>
      <c r="L296" s="10">
        <f t="shared" si="40"/>
        <v>1</v>
      </c>
      <c r="M296" s="10">
        <f t="shared" si="42"/>
        <v>207</v>
      </c>
    </row>
    <row r="297" spans="7:13" ht="17.25" customHeight="1" x14ac:dyDescent="0.25">
      <c r="G297" s="2" t="str">
        <f t="shared" si="36"/>
        <v>Fri</v>
      </c>
      <c r="H297" s="8">
        <f t="shared" si="41"/>
        <v>46318</v>
      </c>
      <c r="I297" s="6">
        <f t="shared" si="37"/>
        <v>0</v>
      </c>
      <c r="J297" s="6">
        <f t="shared" si="39"/>
        <v>6</v>
      </c>
      <c r="K297" s="9">
        <f t="shared" si="38"/>
        <v>1</v>
      </c>
      <c r="L297" s="10">
        <f t="shared" si="40"/>
        <v>1</v>
      </c>
      <c r="M297" s="10">
        <f t="shared" si="42"/>
        <v>208</v>
      </c>
    </row>
    <row r="298" spans="7:13" ht="17.25" customHeight="1" x14ac:dyDescent="0.25">
      <c r="G298" s="2" t="str">
        <f t="shared" si="36"/>
        <v>Sat</v>
      </c>
      <c r="H298" s="8">
        <f t="shared" si="41"/>
        <v>46319</v>
      </c>
      <c r="I298" s="6">
        <f t="shared" si="37"/>
        <v>0</v>
      </c>
      <c r="J298" s="6">
        <f t="shared" si="39"/>
        <v>7</v>
      </c>
      <c r="K298" s="9">
        <f t="shared" si="38"/>
        <v>0</v>
      </c>
      <c r="L298" s="10">
        <f t="shared" si="40"/>
        <v>0</v>
      </c>
      <c r="M298" s="10">
        <f t="shared" si="42"/>
        <v>208</v>
      </c>
    </row>
    <row r="299" spans="7:13" ht="17.25" customHeight="1" x14ac:dyDescent="0.25">
      <c r="G299" s="2" t="str">
        <f t="shared" si="36"/>
        <v>Sun</v>
      </c>
      <c r="H299" s="8">
        <f t="shared" si="41"/>
        <v>46320</v>
      </c>
      <c r="I299" s="6">
        <f t="shared" si="37"/>
        <v>0</v>
      </c>
      <c r="J299" s="6">
        <f t="shared" si="39"/>
        <v>1</v>
      </c>
      <c r="K299" s="9">
        <f t="shared" si="38"/>
        <v>0</v>
      </c>
      <c r="L299" s="10">
        <f t="shared" si="40"/>
        <v>0</v>
      </c>
      <c r="M299" s="10">
        <f t="shared" si="42"/>
        <v>208</v>
      </c>
    </row>
    <row r="300" spans="7:13" ht="17.25" customHeight="1" x14ac:dyDescent="0.25">
      <c r="G300" s="2" t="str">
        <f t="shared" si="36"/>
        <v>Mon</v>
      </c>
      <c r="H300" s="8">
        <f t="shared" si="41"/>
        <v>46321</v>
      </c>
      <c r="I300" s="6">
        <f t="shared" si="37"/>
        <v>0</v>
      </c>
      <c r="J300" s="6">
        <f t="shared" si="39"/>
        <v>2</v>
      </c>
      <c r="K300" s="9">
        <f t="shared" si="38"/>
        <v>1</v>
      </c>
      <c r="L300" s="10">
        <f t="shared" si="40"/>
        <v>1</v>
      </c>
      <c r="M300" s="10">
        <f t="shared" si="42"/>
        <v>209</v>
      </c>
    </row>
    <row r="301" spans="7:13" ht="17.25" customHeight="1" x14ac:dyDescent="0.25">
      <c r="G301" s="2" t="str">
        <f t="shared" si="36"/>
        <v>Tue</v>
      </c>
      <c r="H301" s="8">
        <f t="shared" si="41"/>
        <v>46322</v>
      </c>
      <c r="I301" s="6">
        <f t="shared" si="37"/>
        <v>0</v>
      </c>
      <c r="J301" s="6">
        <f t="shared" si="39"/>
        <v>3</v>
      </c>
      <c r="K301" s="9">
        <f t="shared" si="38"/>
        <v>1</v>
      </c>
      <c r="L301" s="10">
        <f t="shared" si="40"/>
        <v>1</v>
      </c>
      <c r="M301" s="10">
        <f t="shared" si="42"/>
        <v>210</v>
      </c>
    </row>
    <row r="302" spans="7:13" ht="17.25" customHeight="1" x14ac:dyDescent="0.25">
      <c r="G302" s="2" t="str">
        <f t="shared" si="36"/>
        <v>Wed</v>
      </c>
      <c r="H302" s="8">
        <f t="shared" si="41"/>
        <v>46323</v>
      </c>
      <c r="I302" s="6">
        <f t="shared" si="37"/>
        <v>0</v>
      </c>
      <c r="J302" s="6">
        <f t="shared" si="39"/>
        <v>4</v>
      </c>
      <c r="K302" s="9">
        <f t="shared" si="38"/>
        <v>1</v>
      </c>
      <c r="L302" s="10">
        <f t="shared" si="40"/>
        <v>1</v>
      </c>
      <c r="M302" s="10">
        <f t="shared" si="42"/>
        <v>211</v>
      </c>
    </row>
    <row r="303" spans="7:13" ht="17.25" customHeight="1" x14ac:dyDescent="0.25">
      <c r="G303" s="2" t="str">
        <f t="shared" si="36"/>
        <v>Thu</v>
      </c>
      <c r="H303" s="8">
        <f t="shared" si="41"/>
        <v>46324</v>
      </c>
      <c r="I303" s="6">
        <f t="shared" si="37"/>
        <v>0</v>
      </c>
      <c r="J303" s="6">
        <f t="shared" si="39"/>
        <v>5</v>
      </c>
      <c r="K303" s="9">
        <f t="shared" si="38"/>
        <v>1</v>
      </c>
      <c r="L303" s="10">
        <f t="shared" si="40"/>
        <v>1</v>
      </c>
      <c r="M303" s="10">
        <f t="shared" si="42"/>
        <v>212</v>
      </c>
    </row>
    <row r="304" spans="7:13" ht="17.25" customHeight="1" x14ac:dyDescent="0.25">
      <c r="G304" s="2" t="str">
        <f t="shared" si="36"/>
        <v>Fri</v>
      </c>
      <c r="H304" s="8">
        <f t="shared" si="41"/>
        <v>46325</v>
      </c>
      <c r="I304" s="6">
        <f t="shared" si="37"/>
        <v>0</v>
      </c>
      <c r="J304" s="6">
        <f t="shared" si="39"/>
        <v>6</v>
      </c>
      <c r="K304" s="9">
        <f t="shared" si="38"/>
        <v>1</v>
      </c>
      <c r="L304" s="10">
        <f t="shared" si="40"/>
        <v>1</v>
      </c>
      <c r="M304" s="10">
        <f t="shared" si="42"/>
        <v>213</v>
      </c>
    </row>
    <row r="305" spans="7:13" ht="17.25" customHeight="1" x14ac:dyDescent="0.25">
      <c r="G305" s="2" t="str">
        <f t="shared" si="36"/>
        <v>Sat</v>
      </c>
      <c r="H305" s="8">
        <f t="shared" si="41"/>
        <v>46326</v>
      </c>
      <c r="I305" s="6">
        <f t="shared" si="37"/>
        <v>0</v>
      </c>
      <c r="J305" s="6">
        <f t="shared" si="39"/>
        <v>7</v>
      </c>
      <c r="K305" s="9">
        <f t="shared" si="38"/>
        <v>0</v>
      </c>
      <c r="L305" s="10">
        <f t="shared" si="40"/>
        <v>0</v>
      </c>
      <c r="M305" s="10">
        <f t="shared" si="42"/>
        <v>213</v>
      </c>
    </row>
    <row r="306" spans="7:13" ht="17.25" customHeight="1" x14ac:dyDescent="0.25">
      <c r="G306" s="2" t="str">
        <f t="shared" si="36"/>
        <v>Sun</v>
      </c>
      <c r="H306" s="8">
        <f t="shared" si="41"/>
        <v>46327</v>
      </c>
      <c r="I306" s="6">
        <f t="shared" si="37"/>
        <v>0</v>
      </c>
      <c r="J306" s="6">
        <f t="shared" si="39"/>
        <v>1</v>
      </c>
      <c r="K306" s="9">
        <f t="shared" si="38"/>
        <v>0</v>
      </c>
      <c r="L306" s="10">
        <f t="shared" si="40"/>
        <v>0</v>
      </c>
      <c r="M306" s="10">
        <f t="shared" si="42"/>
        <v>213</v>
      </c>
    </row>
    <row r="307" spans="7:13" ht="17.25" customHeight="1" x14ac:dyDescent="0.25">
      <c r="G307" s="2" t="str">
        <f t="shared" si="36"/>
        <v>Mon</v>
      </c>
      <c r="H307" s="8">
        <f t="shared" si="41"/>
        <v>46328</v>
      </c>
      <c r="I307" s="6">
        <f t="shared" si="37"/>
        <v>0</v>
      </c>
      <c r="J307" s="6">
        <f t="shared" si="39"/>
        <v>2</v>
      </c>
      <c r="K307" s="9">
        <f t="shared" si="38"/>
        <v>1</v>
      </c>
      <c r="L307" s="10">
        <f t="shared" si="40"/>
        <v>1</v>
      </c>
      <c r="M307" s="10">
        <f t="shared" si="42"/>
        <v>214</v>
      </c>
    </row>
    <row r="308" spans="7:13" ht="17.25" customHeight="1" x14ac:dyDescent="0.25">
      <c r="G308" s="2" t="str">
        <f t="shared" si="36"/>
        <v>Tue</v>
      </c>
      <c r="H308" s="8">
        <f t="shared" si="41"/>
        <v>46329</v>
      </c>
      <c r="I308" s="6">
        <f t="shared" si="37"/>
        <v>0</v>
      </c>
      <c r="J308" s="6">
        <f t="shared" si="39"/>
        <v>3</v>
      </c>
      <c r="K308" s="9">
        <f t="shared" si="38"/>
        <v>1</v>
      </c>
      <c r="L308" s="10">
        <f t="shared" si="40"/>
        <v>1</v>
      </c>
      <c r="M308" s="10">
        <f t="shared" si="42"/>
        <v>215</v>
      </c>
    </row>
    <row r="309" spans="7:13" ht="17.25" customHeight="1" x14ac:dyDescent="0.25">
      <c r="G309" s="2" t="str">
        <f t="shared" si="36"/>
        <v>Wed</v>
      </c>
      <c r="H309" s="8">
        <f t="shared" si="41"/>
        <v>46330</v>
      </c>
      <c r="I309" s="6">
        <f t="shared" si="37"/>
        <v>0</v>
      </c>
      <c r="J309" s="6">
        <f t="shared" si="39"/>
        <v>4</v>
      </c>
      <c r="K309" s="9">
        <f t="shared" si="38"/>
        <v>1</v>
      </c>
      <c r="L309" s="10">
        <f t="shared" si="40"/>
        <v>1</v>
      </c>
      <c r="M309" s="10">
        <f t="shared" si="42"/>
        <v>216</v>
      </c>
    </row>
    <row r="310" spans="7:13" ht="17.25" customHeight="1" x14ac:dyDescent="0.25">
      <c r="G310" s="2" t="str">
        <f t="shared" si="36"/>
        <v>Thu</v>
      </c>
      <c r="H310" s="8">
        <f t="shared" si="41"/>
        <v>46331</v>
      </c>
      <c r="I310" s="6">
        <f t="shared" si="37"/>
        <v>0</v>
      </c>
      <c r="J310" s="6">
        <f t="shared" si="39"/>
        <v>5</v>
      </c>
      <c r="K310" s="9">
        <f t="shared" si="38"/>
        <v>1</v>
      </c>
      <c r="L310" s="10">
        <f t="shared" si="40"/>
        <v>1</v>
      </c>
      <c r="M310" s="10">
        <f t="shared" si="42"/>
        <v>217</v>
      </c>
    </row>
    <row r="311" spans="7:13" ht="17.25" customHeight="1" x14ac:dyDescent="0.25">
      <c r="G311" s="2" t="str">
        <f t="shared" si="36"/>
        <v>Fri</v>
      </c>
      <c r="H311" s="8">
        <f t="shared" si="41"/>
        <v>46332</v>
      </c>
      <c r="I311" s="6">
        <f t="shared" si="37"/>
        <v>0</v>
      </c>
      <c r="J311" s="6">
        <f t="shared" si="39"/>
        <v>6</v>
      </c>
      <c r="K311" s="9">
        <f t="shared" si="38"/>
        <v>1</v>
      </c>
      <c r="L311" s="10">
        <f t="shared" si="40"/>
        <v>1</v>
      </c>
      <c r="M311" s="10">
        <f t="shared" si="42"/>
        <v>218</v>
      </c>
    </row>
    <row r="312" spans="7:13" ht="17.25" customHeight="1" x14ac:dyDescent="0.25">
      <c r="G312" s="2" t="str">
        <f t="shared" si="36"/>
        <v>Sat</v>
      </c>
      <c r="H312" s="8">
        <f t="shared" si="41"/>
        <v>46333</v>
      </c>
      <c r="I312" s="6">
        <f t="shared" si="37"/>
        <v>0</v>
      </c>
      <c r="J312" s="6">
        <f t="shared" si="39"/>
        <v>7</v>
      </c>
      <c r="K312" s="9">
        <f t="shared" si="38"/>
        <v>0</v>
      </c>
      <c r="L312" s="10">
        <f t="shared" si="40"/>
        <v>0</v>
      </c>
      <c r="M312" s="10">
        <f t="shared" si="42"/>
        <v>218</v>
      </c>
    </row>
    <row r="313" spans="7:13" ht="17.25" customHeight="1" x14ac:dyDescent="0.25">
      <c r="G313" s="2" t="str">
        <f t="shared" si="36"/>
        <v>Sun</v>
      </c>
      <c r="H313" s="8">
        <f t="shared" si="41"/>
        <v>46334</v>
      </c>
      <c r="I313" s="6">
        <f t="shared" si="37"/>
        <v>0</v>
      </c>
      <c r="J313" s="6">
        <f t="shared" si="39"/>
        <v>1</v>
      </c>
      <c r="K313" s="9">
        <f t="shared" si="38"/>
        <v>0</v>
      </c>
      <c r="L313" s="10">
        <f t="shared" si="40"/>
        <v>0</v>
      </c>
      <c r="M313" s="10">
        <f t="shared" si="42"/>
        <v>218</v>
      </c>
    </row>
    <row r="314" spans="7:13" ht="17.25" customHeight="1" x14ac:dyDescent="0.25">
      <c r="G314" s="2" t="str">
        <f t="shared" si="36"/>
        <v>Mon</v>
      </c>
      <c r="H314" s="8">
        <f t="shared" si="41"/>
        <v>46335</v>
      </c>
      <c r="I314" s="6">
        <f t="shared" si="37"/>
        <v>0</v>
      </c>
      <c r="J314" s="6">
        <f t="shared" si="39"/>
        <v>2</v>
      </c>
      <c r="K314" s="9">
        <f t="shared" si="38"/>
        <v>1</v>
      </c>
      <c r="L314" s="10">
        <f t="shared" si="40"/>
        <v>1</v>
      </c>
      <c r="M314" s="10">
        <f t="shared" si="42"/>
        <v>219</v>
      </c>
    </row>
    <row r="315" spans="7:13" ht="17.25" customHeight="1" x14ac:dyDescent="0.25">
      <c r="G315" s="2" t="str">
        <f t="shared" si="36"/>
        <v>Tue</v>
      </c>
      <c r="H315" s="8">
        <f t="shared" si="41"/>
        <v>46336</v>
      </c>
      <c r="I315" s="6">
        <f t="shared" si="37"/>
        <v>1</v>
      </c>
      <c r="J315" s="6">
        <f t="shared" si="39"/>
        <v>3</v>
      </c>
      <c r="K315" s="9">
        <f t="shared" si="38"/>
        <v>0.5</v>
      </c>
      <c r="L315" s="10">
        <f t="shared" si="40"/>
        <v>0.5</v>
      </c>
      <c r="M315" s="10">
        <f t="shared" si="42"/>
        <v>219.5</v>
      </c>
    </row>
    <row r="316" spans="7:13" ht="17.25" customHeight="1" x14ac:dyDescent="0.25">
      <c r="G316" s="2" t="str">
        <f t="shared" si="36"/>
        <v>Wed</v>
      </c>
      <c r="H316" s="8">
        <f t="shared" si="41"/>
        <v>46337</v>
      </c>
      <c r="I316" s="6">
        <f t="shared" si="37"/>
        <v>0</v>
      </c>
      <c r="J316" s="6">
        <f t="shared" si="39"/>
        <v>4</v>
      </c>
      <c r="K316" s="9">
        <f t="shared" si="38"/>
        <v>1</v>
      </c>
      <c r="L316" s="10">
        <f t="shared" si="40"/>
        <v>1</v>
      </c>
      <c r="M316" s="10">
        <f t="shared" si="42"/>
        <v>220.5</v>
      </c>
    </row>
    <row r="317" spans="7:13" ht="17.25" customHeight="1" x14ac:dyDescent="0.25">
      <c r="G317" s="2" t="str">
        <f t="shared" si="36"/>
        <v>Thu</v>
      </c>
      <c r="H317" s="8">
        <f t="shared" si="41"/>
        <v>46338</v>
      </c>
      <c r="I317" s="6">
        <f t="shared" si="37"/>
        <v>0</v>
      </c>
      <c r="J317" s="6">
        <f t="shared" si="39"/>
        <v>5</v>
      </c>
      <c r="K317" s="9">
        <f t="shared" si="38"/>
        <v>1</v>
      </c>
      <c r="L317" s="10">
        <f t="shared" si="40"/>
        <v>1</v>
      </c>
      <c r="M317" s="10">
        <f t="shared" si="42"/>
        <v>221.5</v>
      </c>
    </row>
    <row r="318" spans="7:13" ht="17.25" customHeight="1" x14ac:dyDescent="0.25">
      <c r="G318" s="2" t="str">
        <f t="shared" si="36"/>
        <v>Fri</v>
      </c>
      <c r="H318" s="8">
        <f t="shared" si="41"/>
        <v>46339</v>
      </c>
      <c r="I318" s="6">
        <f t="shared" si="37"/>
        <v>0</v>
      </c>
      <c r="J318" s="6">
        <f t="shared" si="39"/>
        <v>6</v>
      </c>
      <c r="K318" s="9">
        <f t="shared" si="38"/>
        <v>1</v>
      </c>
      <c r="L318" s="10">
        <f t="shared" si="40"/>
        <v>1</v>
      </c>
      <c r="M318" s="10">
        <f t="shared" si="42"/>
        <v>222.5</v>
      </c>
    </row>
    <row r="319" spans="7:13" ht="17.25" customHeight="1" x14ac:dyDescent="0.25">
      <c r="G319" s="2" t="str">
        <f t="shared" si="36"/>
        <v>Sat</v>
      </c>
      <c r="H319" s="8">
        <f t="shared" si="41"/>
        <v>46340</v>
      </c>
      <c r="I319" s="6">
        <f t="shared" si="37"/>
        <v>0</v>
      </c>
      <c r="J319" s="6">
        <f t="shared" si="39"/>
        <v>7</v>
      </c>
      <c r="K319" s="9">
        <f t="shared" si="38"/>
        <v>0</v>
      </c>
      <c r="L319" s="10">
        <f t="shared" si="40"/>
        <v>0</v>
      </c>
      <c r="M319" s="10">
        <f t="shared" si="42"/>
        <v>222.5</v>
      </c>
    </row>
    <row r="320" spans="7:13" ht="17.25" customHeight="1" x14ac:dyDescent="0.25">
      <c r="G320" s="2" t="str">
        <f t="shared" si="36"/>
        <v>Sun</v>
      </c>
      <c r="H320" s="8">
        <f t="shared" si="41"/>
        <v>46341</v>
      </c>
      <c r="I320" s="6">
        <f t="shared" si="37"/>
        <v>0</v>
      </c>
      <c r="J320" s="6">
        <f t="shared" si="39"/>
        <v>1</v>
      </c>
      <c r="K320" s="9">
        <f t="shared" si="38"/>
        <v>0</v>
      </c>
      <c r="L320" s="10">
        <f t="shared" si="40"/>
        <v>0</v>
      </c>
      <c r="M320" s="10">
        <f t="shared" si="42"/>
        <v>222.5</v>
      </c>
    </row>
    <row r="321" spans="7:13" ht="17.25" customHeight="1" x14ac:dyDescent="0.25">
      <c r="G321" s="2" t="str">
        <f t="shared" si="36"/>
        <v>Mon</v>
      </c>
      <c r="H321" s="8">
        <f t="shared" si="41"/>
        <v>46342</v>
      </c>
      <c r="I321" s="6">
        <f t="shared" si="37"/>
        <v>0</v>
      </c>
      <c r="J321" s="6">
        <f t="shared" si="39"/>
        <v>2</v>
      </c>
      <c r="K321" s="9">
        <f t="shared" si="38"/>
        <v>1</v>
      </c>
      <c r="L321" s="10">
        <f t="shared" si="40"/>
        <v>1</v>
      </c>
      <c r="M321" s="10">
        <f t="shared" si="42"/>
        <v>223.5</v>
      </c>
    </row>
    <row r="322" spans="7:13" ht="17.25" customHeight="1" x14ac:dyDescent="0.25">
      <c r="G322" s="2" t="str">
        <f t="shared" ref="G322:G366" si="43">TEXT(H322,"ddd")</f>
        <v>Tue</v>
      </c>
      <c r="H322" s="8">
        <f t="shared" si="41"/>
        <v>46343</v>
      </c>
      <c r="I322" s="6">
        <f t="shared" ref="I322:I366" si="44">IF(ISNUMBER(VLOOKUP(H322,$T$3:$X$18,5,FALSE)),1,0)</f>
        <v>0</v>
      </c>
      <c r="J322" s="6">
        <f t="shared" si="39"/>
        <v>3</v>
      </c>
      <c r="K322" s="9">
        <f t="shared" ref="K322:K366" si="45">IF(I322=1,$B$2,IF(AND(J322&lt;7,J322&gt;1),1,0))</f>
        <v>1</v>
      </c>
      <c r="L322" s="10">
        <f t="shared" si="40"/>
        <v>1</v>
      </c>
      <c r="M322" s="10">
        <f t="shared" si="42"/>
        <v>224.5</v>
      </c>
    </row>
    <row r="323" spans="7:13" ht="17.25" customHeight="1" x14ac:dyDescent="0.25">
      <c r="G323" s="2" t="str">
        <f t="shared" si="43"/>
        <v>Wed</v>
      </c>
      <c r="H323" s="8">
        <f t="shared" si="41"/>
        <v>46344</v>
      </c>
      <c r="I323" s="6">
        <f t="shared" si="44"/>
        <v>0</v>
      </c>
      <c r="J323" s="6">
        <f t="shared" ref="J323:J366" si="46">WEEKDAY(H323)</f>
        <v>4</v>
      </c>
      <c r="K323" s="9">
        <f t="shared" si="45"/>
        <v>1</v>
      </c>
      <c r="L323" s="10">
        <f t="shared" ref="L323:L366" si="47">+K323</f>
        <v>1</v>
      </c>
      <c r="M323" s="10">
        <f t="shared" si="42"/>
        <v>225.5</v>
      </c>
    </row>
    <row r="324" spans="7:13" ht="17.25" customHeight="1" x14ac:dyDescent="0.25">
      <c r="G324" s="2" t="str">
        <f t="shared" si="43"/>
        <v>Thu</v>
      </c>
      <c r="H324" s="8">
        <f t="shared" ref="H324:H366" si="48">+H323+1</f>
        <v>46345</v>
      </c>
      <c r="I324" s="6">
        <f t="shared" si="44"/>
        <v>0</v>
      </c>
      <c r="J324" s="6">
        <f t="shared" si="46"/>
        <v>5</v>
      </c>
      <c r="K324" s="9">
        <f t="shared" si="45"/>
        <v>1</v>
      </c>
      <c r="L324" s="10">
        <f t="shared" si="47"/>
        <v>1</v>
      </c>
      <c r="M324" s="10">
        <f t="shared" ref="M324:M366" si="49">+L324+M323</f>
        <v>226.5</v>
      </c>
    </row>
    <row r="325" spans="7:13" ht="17.25" customHeight="1" x14ac:dyDescent="0.25">
      <c r="G325" s="2" t="str">
        <f t="shared" si="43"/>
        <v>Fri</v>
      </c>
      <c r="H325" s="8">
        <f t="shared" si="48"/>
        <v>46346</v>
      </c>
      <c r="I325" s="6">
        <f t="shared" si="44"/>
        <v>0</v>
      </c>
      <c r="J325" s="6">
        <f t="shared" si="46"/>
        <v>6</v>
      </c>
      <c r="K325" s="9">
        <f t="shared" si="45"/>
        <v>1</v>
      </c>
      <c r="L325" s="10">
        <f t="shared" si="47"/>
        <v>1</v>
      </c>
      <c r="M325" s="10">
        <f t="shared" si="49"/>
        <v>227.5</v>
      </c>
    </row>
    <row r="326" spans="7:13" ht="17.25" customHeight="1" x14ac:dyDescent="0.25">
      <c r="G326" s="2" t="str">
        <f t="shared" si="43"/>
        <v>Sat</v>
      </c>
      <c r="H326" s="8">
        <f t="shared" si="48"/>
        <v>46347</v>
      </c>
      <c r="I326" s="6">
        <f t="shared" si="44"/>
        <v>0</v>
      </c>
      <c r="J326" s="6">
        <f t="shared" si="46"/>
        <v>7</v>
      </c>
      <c r="K326" s="9">
        <f t="shared" si="45"/>
        <v>0</v>
      </c>
      <c r="L326" s="10">
        <f t="shared" si="47"/>
        <v>0</v>
      </c>
      <c r="M326" s="10">
        <f t="shared" si="49"/>
        <v>227.5</v>
      </c>
    </row>
    <row r="327" spans="7:13" ht="17.25" customHeight="1" x14ac:dyDescent="0.25">
      <c r="G327" s="2" t="str">
        <f t="shared" si="43"/>
        <v>Sun</v>
      </c>
      <c r="H327" s="8">
        <f t="shared" si="48"/>
        <v>46348</v>
      </c>
      <c r="I327" s="6">
        <f t="shared" si="44"/>
        <v>0</v>
      </c>
      <c r="J327" s="6">
        <f t="shared" si="46"/>
        <v>1</v>
      </c>
      <c r="K327" s="9">
        <f t="shared" si="45"/>
        <v>0</v>
      </c>
      <c r="L327" s="10">
        <f t="shared" si="47"/>
        <v>0</v>
      </c>
      <c r="M327" s="10">
        <f t="shared" si="49"/>
        <v>227.5</v>
      </c>
    </row>
    <row r="328" spans="7:13" ht="17.25" customHeight="1" x14ac:dyDescent="0.25">
      <c r="G328" s="2" t="str">
        <f t="shared" si="43"/>
        <v>Mon</v>
      </c>
      <c r="H328" s="8">
        <f t="shared" si="48"/>
        <v>46349</v>
      </c>
      <c r="I328" s="6">
        <f t="shared" si="44"/>
        <v>0</v>
      </c>
      <c r="J328" s="6">
        <f t="shared" si="46"/>
        <v>2</v>
      </c>
      <c r="K328" s="9">
        <f t="shared" si="45"/>
        <v>1</v>
      </c>
      <c r="L328" s="10">
        <f t="shared" si="47"/>
        <v>1</v>
      </c>
      <c r="M328" s="10">
        <f t="shared" si="49"/>
        <v>228.5</v>
      </c>
    </row>
    <row r="329" spans="7:13" ht="17.25" customHeight="1" x14ac:dyDescent="0.25">
      <c r="G329" s="2" t="str">
        <f t="shared" si="43"/>
        <v>Tue</v>
      </c>
      <c r="H329" s="8">
        <f t="shared" si="48"/>
        <v>46350</v>
      </c>
      <c r="I329" s="6">
        <f t="shared" si="44"/>
        <v>1</v>
      </c>
      <c r="J329" s="6">
        <f t="shared" si="46"/>
        <v>3</v>
      </c>
      <c r="K329" s="9">
        <f t="shared" si="45"/>
        <v>0.5</v>
      </c>
      <c r="L329" s="10">
        <f t="shared" si="47"/>
        <v>0.5</v>
      </c>
      <c r="M329" s="10">
        <f t="shared" si="49"/>
        <v>229</v>
      </c>
    </row>
    <row r="330" spans="7:13" ht="17.25" customHeight="1" x14ac:dyDescent="0.25">
      <c r="G330" s="2" t="str">
        <f t="shared" si="43"/>
        <v>Wed</v>
      </c>
      <c r="H330" s="8">
        <f t="shared" si="48"/>
        <v>46351</v>
      </c>
      <c r="I330" s="6">
        <f t="shared" si="44"/>
        <v>0</v>
      </c>
      <c r="J330" s="6">
        <f t="shared" si="46"/>
        <v>4</v>
      </c>
      <c r="K330" s="9">
        <f t="shared" si="45"/>
        <v>1</v>
      </c>
      <c r="L330" s="10">
        <f t="shared" si="47"/>
        <v>1</v>
      </c>
      <c r="M330" s="10">
        <f t="shared" si="49"/>
        <v>230</v>
      </c>
    </row>
    <row r="331" spans="7:13" ht="17.25" customHeight="1" x14ac:dyDescent="0.25">
      <c r="G331" s="2" t="str">
        <f t="shared" si="43"/>
        <v>Thu</v>
      </c>
      <c r="H331" s="8">
        <f t="shared" si="48"/>
        <v>46352</v>
      </c>
      <c r="I331" s="6">
        <f t="shared" si="44"/>
        <v>0</v>
      </c>
      <c r="J331" s="6">
        <f t="shared" si="46"/>
        <v>5</v>
      </c>
      <c r="K331" s="9">
        <f t="shared" si="45"/>
        <v>1</v>
      </c>
      <c r="L331" s="10">
        <f t="shared" si="47"/>
        <v>1</v>
      </c>
      <c r="M331" s="10">
        <f t="shared" si="49"/>
        <v>231</v>
      </c>
    </row>
    <row r="332" spans="7:13" ht="17.25" customHeight="1" x14ac:dyDescent="0.25">
      <c r="G332" s="2" t="str">
        <f t="shared" si="43"/>
        <v>Fri</v>
      </c>
      <c r="H332" s="8">
        <f t="shared" si="48"/>
        <v>46353</v>
      </c>
      <c r="I332" s="6">
        <f t="shared" si="44"/>
        <v>0</v>
      </c>
      <c r="J332" s="6">
        <f t="shared" si="46"/>
        <v>6</v>
      </c>
      <c r="K332" s="9">
        <f t="shared" si="45"/>
        <v>1</v>
      </c>
      <c r="L332" s="10">
        <f t="shared" si="47"/>
        <v>1</v>
      </c>
      <c r="M332" s="10">
        <f t="shared" si="49"/>
        <v>232</v>
      </c>
    </row>
    <row r="333" spans="7:13" ht="17.25" customHeight="1" x14ac:dyDescent="0.25">
      <c r="G333" s="2" t="str">
        <f t="shared" si="43"/>
        <v>Sat</v>
      </c>
      <c r="H333" s="8">
        <f t="shared" si="48"/>
        <v>46354</v>
      </c>
      <c r="I333" s="6">
        <f t="shared" si="44"/>
        <v>0</v>
      </c>
      <c r="J333" s="6">
        <f t="shared" si="46"/>
        <v>7</v>
      </c>
      <c r="K333" s="9">
        <f t="shared" si="45"/>
        <v>0</v>
      </c>
      <c r="L333" s="10">
        <f t="shared" si="47"/>
        <v>0</v>
      </c>
      <c r="M333" s="10">
        <f t="shared" si="49"/>
        <v>232</v>
      </c>
    </row>
    <row r="334" spans="7:13" ht="17.25" customHeight="1" x14ac:dyDescent="0.25">
      <c r="G334" s="2" t="str">
        <f t="shared" si="43"/>
        <v>Sun</v>
      </c>
      <c r="H334" s="8">
        <f t="shared" si="48"/>
        <v>46355</v>
      </c>
      <c r="I334" s="6">
        <f t="shared" si="44"/>
        <v>0</v>
      </c>
      <c r="J334" s="6">
        <f t="shared" si="46"/>
        <v>1</v>
      </c>
      <c r="K334" s="9">
        <f t="shared" si="45"/>
        <v>0</v>
      </c>
      <c r="L334" s="10">
        <f t="shared" si="47"/>
        <v>0</v>
      </c>
      <c r="M334" s="10">
        <f t="shared" si="49"/>
        <v>232</v>
      </c>
    </row>
    <row r="335" spans="7:13" ht="17.25" customHeight="1" x14ac:dyDescent="0.25">
      <c r="G335" s="2" t="str">
        <f t="shared" si="43"/>
        <v>Mon</v>
      </c>
      <c r="H335" s="8">
        <f t="shared" si="48"/>
        <v>46356</v>
      </c>
      <c r="I335" s="6">
        <f t="shared" si="44"/>
        <v>0</v>
      </c>
      <c r="J335" s="6">
        <f t="shared" si="46"/>
        <v>2</v>
      </c>
      <c r="K335" s="9">
        <f t="shared" si="45"/>
        <v>1</v>
      </c>
      <c r="L335" s="10">
        <f t="shared" si="47"/>
        <v>1</v>
      </c>
      <c r="M335" s="10">
        <f t="shared" si="49"/>
        <v>233</v>
      </c>
    </row>
    <row r="336" spans="7:13" ht="17.25" customHeight="1" x14ac:dyDescent="0.25">
      <c r="G336" s="2" t="str">
        <f t="shared" si="43"/>
        <v>Tue</v>
      </c>
      <c r="H336" s="8">
        <f t="shared" si="48"/>
        <v>46357</v>
      </c>
      <c r="I336" s="6">
        <f t="shared" si="44"/>
        <v>0</v>
      </c>
      <c r="J336" s="6">
        <f t="shared" si="46"/>
        <v>3</v>
      </c>
      <c r="K336" s="9">
        <f t="shared" si="45"/>
        <v>1</v>
      </c>
      <c r="L336" s="10">
        <f t="shared" si="47"/>
        <v>1</v>
      </c>
      <c r="M336" s="10">
        <f t="shared" si="49"/>
        <v>234</v>
      </c>
    </row>
    <row r="337" spans="7:13" ht="17.25" customHeight="1" x14ac:dyDescent="0.25">
      <c r="G337" s="2" t="str">
        <f t="shared" si="43"/>
        <v>Wed</v>
      </c>
      <c r="H337" s="8">
        <f t="shared" si="48"/>
        <v>46358</v>
      </c>
      <c r="I337" s="6">
        <f t="shared" si="44"/>
        <v>0</v>
      </c>
      <c r="J337" s="6">
        <f t="shared" si="46"/>
        <v>4</v>
      </c>
      <c r="K337" s="9">
        <f t="shared" si="45"/>
        <v>1</v>
      </c>
      <c r="L337" s="10">
        <f t="shared" si="47"/>
        <v>1</v>
      </c>
      <c r="M337" s="10">
        <f t="shared" si="49"/>
        <v>235</v>
      </c>
    </row>
    <row r="338" spans="7:13" ht="17.25" customHeight="1" x14ac:dyDescent="0.25">
      <c r="G338" s="2" t="str">
        <f t="shared" si="43"/>
        <v>Thu</v>
      </c>
      <c r="H338" s="8">
        <f t="shared" si="48"/>
        <v>46359</v>
      </c>
      <c r="I338" s="6">
        <f t="shared" si="44"/>
        <v>0</v>
      </c>
      <c r="J338" s="6">
        <f t="shared" si="46"/>
        <v>5</v>
      </c>
      <c r="K338" s="9">
        <f t="shared" si="45"/>
        <v>1</v>
      </c>
      <c r="L338" s="10">
        <f t="shared" si="47"/>
        <v>1</v>
      </c>
      <c r="M338" s="10">
        <f t="shared" si="49"/>
        <v>236</v>
      </c>
    </row>
    <row r="339" spans="7:13" ht="17.25" customHeight="1" x14ac:dyDescent="0.25">
      <c r="G339" s="2" t="str">
        <f t="shared" si="43"/>
        <v>Fri</v>
      </c>
      <c r="H339" s="8">
        <f t="shared" si="48"/>
        <v>46360</v>
      </c>
      <c r="I339" s="6">
        <f t="shared" si="44"/>
        <v>0</v>
      </c>
      <c r="J339" s="6">
        <f t="shared" si="46"/>
        <v>6</v>
      </c>
      <c r="K339" s="9">
        <f t="shared" si="45"/>
        <v>1</v>
      </c>
      <c r="L339" s="10">
        <f t="shared" si="47"/>
        <v>1</v>
      </c>
      <c r="M339" s="10">
        <f t="shared" si="49"/>
        <v>237</v>
      </c>
    </row>
    <row r="340" spans="7:13" ht="17.25" customHeight="1" x14ac:dyDescent="0.25">
      <c r="G340" s="2" t="str">
        <f t="shared" si="43"/>
        <v>Sat</v>
      </c>
      <c r="H340" s="8">
        <f t="shared" si="48"/>
        <v>46361</v>
      </c>
      <c r="I340" s="6">
        <f t="shared" si="44"/>
        <v>0</v>
      </c>
      <c r="J340" s="6">
        <f t="shared" si="46"/>
        <v>7</v>
      </c>
      <c r="K340" s="9">
        <f t="shared" si="45"/>
        <v>0</v>
      </c>
      <c r="L340" s="10">
        <f t="shared" si="47"/>
        <v>0</v>
      </c>
      <c r="M340" s="10">
        <f t="shared" si="49"/>
        <v>237</v>
      </c>
    </row>
    <row r="341" spans="7:13" ht="17.25" customHeight="1" x14ac:dyDescent="0.25">
      <c r="G341" s="2" t="str">
        <f t="shared" si="43"/>
        <v>Sun</v>
      </c>
      <c r="H341" s="8">
        <f t="shared" si="48"/>
        <v>46362</v>
      </c>
      <c r="I341" s="6">
        <f t="shared" si="44"/>
        <v>0</v>
      </c>
      <c r="J341" s="6">
        <f t="shared" si="46"/>
        <v>1</v>
      </c>
      <c r="K341" s="9">
        <f t="shared" si="45"/>
        <v>0</v>
      </c>
      <c r="L341" s="10">
        <f t="shared" si="47"/>
        <v>0</v>
      </c>
      <c r="M341" s="10">
        <f t="shared" si="49"/>
        <v>237</v>
      </c>
    </row>
    <row r="342" spans="7:13" ht="17.25" customHeight="1" x14ac:dyDescent="0.25">
      <c r="G342" s="2" t="str">
        <f t="shared" si="43"/>
        <v>Mon</v>
      </c>
      <c r="H342" s="8">
        <f t="shared" si="48"/>
        <v>46363</v>
      </c>
      <c r="I342" s="6">
        <f t="shared" si="44"/>
        <v>0</v>
      </c>
      <c r="J342" s="6">
        <f t="shared" si="46"/>
        <v>2</v>
      </c>
      <c r="K342" s="9">
        <f t="shared" si="45"/>
        <v>1</v>
      </c>
      <c r="L342" s="10">
        <f t="shared" si="47"/>
        <v>1</v>
      </c>
      <c r="M342" s="10">
        <f t="shared" si="49"/>
        <v>238</v>
      </c>
    </row>
    <row r="343" spans="7:13" ht="17.25" customHeight="1" x14ac:dyDescent="0.25">
      <c r="G343" s="2" t="str">
        <f t="shared" si="43"/>
        <v>Tue</v>
      </c>
      <c r="H343" s="8">
        <f t="shared" si="48"/>
        <v>46364</v>
      </c>
      <c r="I343" s="6">
        <f t="shared" si="44"/>
        <v>0</v>
      </c>
      <c r="J343" s="6">
        <f t="shared" si="46"/>
        <v>3</v>
      </c>
      <c r="K343" s="9">
        <f t="shared" si="45"/>
        <v>1</v>
      </c>
      <c r="L343" s="10">
        <f t="shared" si="47"/>
        <v>1</v>
      </c>
      <c r="M343" s="10">
        <f t="shared" si="49"/>
        <v>239</v>
      </c>
    </row>
    <row r="344" spans="7:13" ht="17.25" customHeight="1" x14ac:dyDescent="0.25">
      <c r="G344" s="2" t="str">
        <f t="shared" si="43"/>
        <v>Wed</v>
      </c>
      <c r="H344" s="8">
        <f t="shared" si="48"/>
        <v>46365</v>
      </c>
      <c r="I344" s="6">
        <f t="shared" si="44"/>
        <v>0</v>
      </c>
      <c r="J344" s="6">
        <f t="shared" si="46"/>
        <v>4</v>
      </c>
      <c r="K344" s="9">
        <f t="shared" si="45"/>
        <v>1</v>
      </c>
      <c r="L344" s="10">
        <f t="shared" si="47"/>
        <v>1</v>
      </c>
      <c r="M344" s="10">
        <f t="shared" si="49"/>
        <v>240</v>
      </c>
    </row>
    <row r="345" spans="7:13" ht="17.25" customHeight="1" x14ac:dyDescent="0.25">
      <c r="G345" s="2" t="str">
        <f t="shared" si="43"/>
        <v>Thu</v>
      </c>
      <c r="H345" s="8">
        <f t="shared" si="48"/>
        <v>46366</v>
      </c>
      <c r="I345" s="6">
        <f t="shared" si="44"/>
        <v>0</v>
      </c>
      <c r="J345" s="6">
        <f t="shared" si="46"/>
        <v>5</v>
      </c>
      <c r="K345" s="9">
        <f t="shared" si="45"/>
        <v>1</v>
      </c>
      <c r="L345" s="10">
        <f t="shared" si="47"/>
        <v>1</v>
      </c>
      <c r="M345" s="10">
        <f t="shared" si="49"/>
        <v>241</v>
      </c>
    </row>
    <row r="346" spans="7:13" ht="17.25" customHeight="1" x14ac:dyDescent="0.25">
      <c r="G346" s="2" t="str">
        <f t="shared" si="43"/>
        <v>Fri</v>
      </c>
      <c r="H346" s="8">
        <f t="shared" si="48"/>
        <v>46367</v>
      </c>
      <c r="I346" s="6">
        <f t="shared" si="44"/>
        <v>0</v>
      </c>
      <c r="J346" s="6">
        <f t="shared" si="46"/>
        <v>6</v>
      </c>
      <c r="K346" s="9">
        <f t="shared" si="45"/>
        <v>1</v>
      </c>
      <c r="L346" s="10">
        <f t="shared" si="47"/>
        <v>1</v>
      </c>
      <c r="M346" s="10">
        <f t="shared" si="49"/>
        <v>242</v>
      </c>
    </row>
    <row r="347" spans="7:13" ht="17.25" customHeight="1" x14ac:dyDescent="0.25">
      <c r="G347" s="2" t="str">
        <f t="shared" si="43"/>
        <v>Sat</v>
      </c>
      <c r="H347" s="8">
        <f t="shared" si="48"/>
        <v>46368</v>
      </c>
      <c r="I347" s="6">
        <f t="shared" si="44"/>
        <v>0</v>
      </c>
      <c r="J347" s="6">
        <f t="shared" si="46"/>
        <v>7</v>
      </c>
      <c r="K347" s="9">
        <f t="shared" si="45"/>
        <v>0</v>
      </c>
      <c r="L347" s="10">
        <f t="shared" si="47"/>
        <v>0</v>
      </c>
      <c r="M347" s="10">
        <f t="shared" si="49"/>
        <v>242</v>
      </c>
    </row>
    <row r="348" spans="7:13" ht="17.25" customHeight="1" x14ac:dyDescent="0.25">
      <c r="G348" s="2" t="str">
        <f t="shared" si="43"/>
        <v>Sun</v>
      </c>
      <c r="H348" s="8">
        <f t="shared" si="48"/>
        <v>46369</v>
      </c>
      <c r="I348" s="6">
        <f t="shared" si="44"/>
        <v>0</v>
      </c>
      <c r="J348" s="6">
        <f t="shared" si="46"/>
        <v>1</v>
      </c>
      <c r="K348" s="9">
        <f t="shared" si="45"/>
        <v>0</v>
      </c>
      <c r="L348" s="10">
        <f t="shared" si="47"/>
        <v>0</v>
      </c>
      <c r="M348" s="10">
        <f t="shared" si="49"/>
        <v>242</v>
      </c>
    </row>
    <row r="349" spans="7:13" ht="17.25" customHeight="1" x14ac:dyDescent="0.25">
      <c r="G349" s="2" t="str">
        <f t="shared" si="43"/>
        <v>Mon</v>
      </c>
      <c r="H349" s="8">
        <f t="shared" si="48"/>
        <v>46370</v>
      </c>
      <c r="I349" s="6">
        <f t="shared" si="44"/>
        <v>0</v>
      </c>
      <c r="J349" s="6">
        <f t="shared" si="46"/>
        <v>2</v>
      </c>
      <c r="K349" s="9">
        <f t="shared" si="45"/>
        <v>1</v>
      </c>
      <c r="L349" s="10">
        <f t="shared" si="47"/>
        <v>1</v>
      </c>
      <c r="M349" s="10">
        <f t="shared" si="49"/>
        <v>243</v>
      </c>
    </row>
    <row r="350" spans="7:13" ht="17.25" customHeight="1" x14ac:dyDescent="0.25">
      <c r="G350" s="2" t="str">
        <f t="shared" si="43"/>
        <v>Tue</v>
      </c>
      <c r="H350" s="8">
        <f t="shared" si="48"/>
        <v>46371</v>
      </c>
      <c r="I350" s="6">
        <f t="shared" si="44"/>
        <v>0</v>
      </c>
      <c r="J350" s="6">
        <f t="shared" si="46"/>
        <v>3</v>
      </c>
      <c r="K350" s="9">
        <f t="shared" si="45"/>
        <v>1</v>
      </c>
      <c r="L350" s="10">
        <f t="shared" si="47"/>
        <v>1</v>
      </c>
      <c r="M350" s="10">
        <f t="shared" si="49"/>
        <v>244</v>
      </c>
    </row>
    <row r="351" spans="7:13" ht="17.25" customHeight="1" x14ac:dyDescent="0.25">
      <c r="G351" s="2" t="str">
        <f t="shared" si="43"/>
        <v>Wed</v>
      </c>
      <c r="H351" s="8">
        <f t="shared" si="48"/>
        <v>46372</v>
      </c>
      <c r="I351" s="6">
        <f t="shared" si="44"/>
        <v>0</v>
      </c>
      <c r="J351" s="6">
        <f t="shared" si="46"/>
        <v>4</v>
      </c>
      <c r="K351" s="9">
        <f t="shared" si="45"/>
        <v>1</v>
      </c>
      <c r="L351" s="10">
        <f t="shared" si="47"/>
        <v>1</v>
      </c>
      <c r="M351" s="10">
        <f t="shared" si="49"/>
        <v>245</v>
      </c>
    </row>
    <row r="352" spans="7:13" ht="17.25" customHeight="1" x14ac:dyDescent="0.25">
      <c r="G352" s="2" t="str">
        <f t="shared" si="43"/>
        <v>Thu</v>
      </c>
      <c r="H352" s="8">
        <f t="shared" si="48"/>
        <v>46373</v>
      </c>
      <c r="I352" s="6">
        <f t="shared" si="44"/>
        <v>0</v>
      </c>
      <c r="J352" s="6">
        <f t="shared" si="46"/>
        <v>5</v>
      </c>
      <c r="K352" s="9">
        <f t="shared" si="45"/>
        <v>1</v>
      </c>
      <c r="L352" s="10">
        <f t="shared" si="47"/>
        <v>1</v>
      </c>
      <c r="M352" s="10">
        <f t="shared" si="49"/>
        <v>246</v>
      </c>
    </row>
    <row r="353" spans="7:13" ht="17.25" customHeight="1" x14ac:dyDescent="0.25">
      <c r="G353" s="2" t="str">
        <f t="shared" si="43"/>
        <v>Fri</v>
      </c>
      <c r="H353" s="8">
        <f t="shared" si="48"/>
        <v>46374</v>
      </c>
      <c r="I353" s="6">
        <f t="shared" si="44"/>
        <v>0</v>
      </c>
      <c r="J353" s="6">
        <f t="shared" si="46"/>
        <v>6</v>
      </c>
      <c r="K353" s="9">
        <f t="shared" si="45"/>
        <v>1</v>
      </c>
      <c r="L353" s="10">
        <f t="shared" si="47"/>
        <v>1</v>
      </c>
      <c r="M353" s="10">
        <f t="shared" si="49"/>
        <v>247</v>
      </c>
    </row>
    <row r="354" spans="7:13" ht="17.25" customHeight="1" x14ac:dyDescent="0.25">
      <c r="G354" s="2" t="str">
        <f t="shared" si="43"/>
        <v>Sat</v>
      </c>
      <c r="H354" s="8">
        <f t="shared" si="48"/>
        <v>46375</v>
      </c>
      <c r="I354" s="6">
        <f t="shared" si="44"/>
        <v>0</v>
      </c>
      <c r="J354" s="6">
        <f t="shared" si="46"/>
        <v>7</v>
      </c>
      <c r="K354" s="9">
        <f t="shared" si="45"/>
        <v>0</v>
      </c>
      <c r="L354" s="10">
        <f t="shared" si="47"/>
        <v>0</v>
      </c>
      <c r="M354" s="10">
        <f t="shared" si="49"/>
        <v>247</v>
      </c>
    </row>
    <row r="355" spans="7:13" ht="17.25" customHeight="1" x14ac:dyDescent="0.25">
      <c r="G355" s="2" t="str">
        <f t="shared" si="43"/>
        <v>Sun</v>
      </c>
      <c r="H355" s="8">
        <f t="shared" si="48"/>
        <v>46376</v>
      </c>
      <c r="I355" s="6">
        <f t="shared" si="44"/>
        <v>0</v>
      </c>
      <c r="J355" s="6">
        <f t="shared" si="46"/>
        <v>1</v>
      </c>
      <c r="K355" s="9">
        <f t="shared" si="45"/>
        <v>0</v>
      </c>
      <c r="L355" s="10">
        <f t="shared" si="47"/>
        <v>0</v>
      </c>
      <c r="M355" s="10">
        <f t="shared" si="49"/>
        <v>247</v>
      </c>
    </row>
    <row r="356" spans="7:13" ht="17.25" customHeight="1" x14ac:dyDescent="0.25">
      <c r="G356" s="2" t="str">
        <f t="shared" si="43"/>
        <v>Mon</v>
      </c>
      <c r="H356" s="8">
        <f t="shared" si="48"/>
        <v>46377</v>
      </c>
      <c r="I356" s="6">
        <f t="shared" si="44"/>
        <v>0</v>
      </c>
      <c r="J356" s="6">
        <f t="shared" si="46"/>
        <v>2</v>
      </c>
      <c r="K356" s="9">
        <f t="shared" si="45"/>
        <v>1</v>
      </c>
      <c r="L356" s="10">
        <f t="shared" si="47"/>
        <v>1</v>
      </c>
      <c r="M356" s="10">
        <f t="shared" si="49"/>
        <v>248</v>
      </c>
    </row>
    <row r="357" spans="7:13" ht="17.25" customHeight="1" x14ac:dyDescent="0.25">
      <c r="G357" s="2" t="str">
        <f t="shared" si="43"/>
        <v>Tue</v>
      </c>
      <c r="H357" s="8">
        <f t="shared" si="48"/>
        <v>46378</v>
      </c>
      <c r="I357" s="6">
        <f t="shared" si="44"/>
        <v>0</v>
      </c>
      <c r="J357" s="6">
        <f t="shared" si="46"/>
        <v>3</v>
      </c>
      <c r="K357" s="9">
        <f t="shared" si="45"/>
        <v>1</v>
      </c>
      <c r="L357" s="10">
        <f t="shared" si="47"/>
        <v>1</v>
      </c>
      <c r="M357" s="10">
        <f t="shared" si="49"/>
        <v>249</v>
      </c>
    </row>
    <row r="358" spans="7:13" ht="17.25" customHeight="1" x14ac:dyDescent="0.25">
      <c r="G358" s="2" t="str">
        <f t="shared" si="43"/>
        <v>Wed</v>
      </c>
      <c r="H358" s="8">
        <f t="shared" si="48"/>
        <v>46379</v>
      </c>
      <c r="I358" s="6">
        <f t="shared" si="44"/>
        <v>0</v>
      </c>
      <c r="J358" s="6">
        <f t="shared" si="46"/>
        <v>4</v>
      </c>
      <c r="K358" s="9">
        <f t="shared" si="45"/>
        <v>1</v>
      </c>
      <c r="L358" s="10">
        <f t="shared" si="47"/>
        <v>1</v>
      </c>
      <c r="M358" s="10">
        <f t="shared" si="49"/>
        <v>250</v>
      </c>
    </row>
    <row r="359" spans="7:13" ht="17.25" customHeight="1" x14ac:dyDescent="0.25">
      <c r="G359" s="2" t="str">
        <f t="shared" si="43"/>
        <v>Thu</v>
      </c>
      <c r="H359" s="8">
        <f t="shared" si="48"/>
        <v>46380</v>
      </c>
      <c r="I359" s="6">
        <f t="shared" si="44"/>
        <v>0</v>
      </c>
      <c r="J359" s="6">
        <f t="shared" si="46"/>
        <v>5</v>
      </c>
      <c r="K359" s="9">
        <f t="shared" si="45"/>
        <v>1</v>
      </c>
      <c r="L359" s="10">
        <f t="shared" si="47"/>
        <v>1</v>
      </c>
      <c r="M359" s="10">
        <f t="shared" si="49"/>
        <v>251</v>
      </c>
    </row>
    <row r="360" spans="7:13" ht="17.25" customHeight="1" x14ac:dyDescent="0.25">
      <c r="G360" s="2" t="str">
        <f t="shared" si="43"/>
        <v>Fri</v>
      </c>
      <c r="H360" s="8">
        <f t="shared" si="48"/>
        <v>46381</v>
      </c>
      <c r="I360" s="6">
        <f t="shared" si="44"/>
        <v>1</v>
      </c>
      <c r="J360" s="6">
        <f t="shared" si="46"/>
        <v>6</v>
      </c>
      <c r="K360" s="9">
        <f t="shared" si="45"/>
        <v>0.5</v>
      </c>
      <c r="L360" s="10">
        <f t="shared" si="47"/>
        <v>0.5</v>
      </c>
      <c r="M360" s="10">
        <f t="shared" si="49"/>
        <v>251.5</v>
      </c>
    </row>
    <row r="361" spans="7:13" ht="17.25" customHeight="1" x14ac:dyDescent="0.25">
      <c r="G361" s="2" t="str">
        <f t="shared" si="43"/>
        <v>Sat</v>
      </c>
      <c r="H361" s="8">
        <f t="shared" si="48"/>
        <v>46382</v>
      </c>
      <c r="I361" s="6">
        <f t="shared" si="44"/>
        <v>0</v>
      </c>
      <c r="J361" s="6">
        <f t="shared" si="46"/>
        <v>7</v>
      </c>
      <c r="K361" s="9">
        <f t="shared" si="45"/>
        <v>0</v>
      </c>
      <c r="L361" s="10">
        <f t="shared" si="47"/>
        <v>0</v>
      </c>
      <c r="M361" s="10">
        <f t="shared" si="49"/>
        <v>251.5</v>
      </c>
    </row>
    <row r="362" spans="7:13" ht="17.25" customHeight="1" x14ac:dyDescent="0.25">
      <c r="G362" s="2" t="str">
        <f t="shared" si="43"/>
        <v>Sun</v>
      </c>
      <c r="H362" s="8">
        <f t="shared" si="48"/>
        <v>46383</v>
      </c>
      <c r="I362" s="6">
        <f t="shared" si="44"/>
        <v>0</v>
      </c>
      <c r="J362" s="6">
        <f t="shared" si="46"/>
        <v>1</v>
      </c>
      <c r="K362" s="9">
        <f t="shared" si="45"/>
        <v>0</v>
      </c>
      <c r="L362" s="10">
        <f t="shared" si="47"/>
        <v>0</v>
      </c>
      <c r="M362" s="10">
        <f t="shared" si="49"/>
        <v>251.5</v>
      </c>
    </row>
    <row r="363" spans="7:13" ht="17.25" customHeight="1" x14ac:dyDescent="0.25">
      <c r="G363" s="2" t="str">
        <f t="shared" si="43"/>
        <v>Mon</v>
      </c>
      <c r="H363" s="8">
        <f t="shared" si="48"/>
        <v>46384</v>
      </c>
      <c r="I363" s="6">
        <f t="shared" si="44"/>
        <v>0</v>
      </c>
      <c r="J363" s="6">
        <f t="shared" si="46"/>
        <v>2</v>
      </c>
      <c r="K363" s="9">
        <f t="shared" si="45"/>
        <v>1</v>
      </c>
      <c r="L363" s="10">
        <f t="shared" si="47"/>
        <v>1</v>
      </c>
      <c r="M363" s="10">
        <f t="shared" si="49"/>
        <v>252.5</v>
      </c>
    </row>
    <row r="364" spans="7:13" ht="17.25" customHeight="1" x14ac:dyDescent="0.25">
      <c r="G364" s="2" t="str">
        <f t="shared" si="43"/>
        <v>Tue</v>
      </c>
      <c r="H364" s="8">
        <f t="shared" si="48"/>
        <v>46385</v>
      </c>
      <c r="I364" s="6">
        <f t="shared" si="44"/>
        <v>0</v>
      </c>
      <c r="J364" s="6">
        <f t="shared" si="46"/>
        <v>3</v>
      </c>
      <c r="K364" s="9">
        <f t="shared" si="45"/>
        <v>1</v>
      </c>
      <c r="L364" s="10">
        <f t="shared" si="47"/>
        <v>1</v>
      </c>
      <c r="M364" s="10">
        <f t="shared" si="49"/>
        <v>253.5</v>
      </c>
    </row>
    <row r="365" spans="7:13" ht="17.25" customHeight="1" x14ac:dyDescent="0.25">
      <c r="G365" s="2" t="str">
        <f t="shared" si="43"/>
        <v>Wed</v>
      </c>
      <c r="H365" s="8">
        <f t="shared" si="48"/>
        <v>46386</v>
      </c>
      <c r="I365" s="6">
        <f t="shared" si="44"/>
        <v>0</v>
      </c>
      <c r="J365" s="6">
        <f t="shared" si="46"/>
        <v>4</v>
      </c>
      <c r="K365" s="9">
        <f t="shared" si="45"/>
        <v>1</v>
      </c>
      <c r="L365" s="10">
        <f t="shared" si="47"/>
        <v>1</v>
      </c>
      <c r="M365" s="10">
        <f t="shared" si="49"/>
        <v>254.5</v>
      </c>
    </row>
    <row r="366" spans="7:13" ht="17.25" customHeight="1" x14ac:dyDescent="0.25">
      <c r="G366" s="2" t="str">
        <f t="shared" si="43"/>
        <v>Thu</v>
      </c>
      <c r="H366" s="8">
        <f t="shared" si="48"/>
        <v>46387</v>
      </c>
      <c r="I366" s="6">
        <f t="shared" si="44"/>
        <v>0</v>
      </c>
      <c r="J366" s="6">
        <f t="shared" si="46"/>
        <v>5</v>
      </c>
      <c r="K366" s="9">
        <f t="shared" si="45"/>
        <v>1</v>
      </c>
      <c r="L366" s="10">
        <f t="shared" si="47"/>
        <v>1</v>
      </c>
      <c r="M366" s="10">
        <f t="shared" si="49"/>
        <v>255.5</v>
      </c>
    </row>
    <row r="367" spans="7:13" ht="17.25" customHeight="1" x14ac:dyDescent="0.25">
      <c r="H367" s="8"/>
      <c r="I367" s="6"/>
      <c r="K367" s="9"/>
    </row>
    <row r="368" spans="7:13" ht="17.25" customHeight="1" x14ac:dyDescent="0.25">
      <c r="H368" s="8"/>
      <c r="I368" s="6"/>
      <c r="K368" s="9"/>
    </row>
    <row r="369" spans="8:11" ht="17.25" customHeight="1" x14ac:dyDescent="0.25">
      <c r="H369" s="8"/>
      <c r="I369" s="6"/>
      <c r="K369" s="9"/>
    </row>
    <row r="370" spans="8:11" ht="17.25" customHeight="1" x14ac:dyDescent="0.25">
      <c r="H370" s="8"/>
      <c r="I370" s="6"/>
      <c r="K370" s="9"/>
    </row>
    <row r="371" spans="8:11" ht="17.25" customHeight="1" x14ac:dyDescent="0.25">
      <c r="H371" s="8"/>
      <c r="I371" s="6"/>
      <c r="K371" s="9"/>
    </row>
    <row r="372" spans="8:11" ht="17.25" customHeight="1" x14ac:dyDescent="0.25">
      <c r="H372" s="8"/>
      <c r="I372" s="6"/>
      <c r="K372" s="9"/>
    </row>
    <row r="373" spans="8:11" ht="17.25" customHeight="1" x14ac:dyDescent="0.25">
      <c r="H373" s="8"/>
      <c r="I373" s="6"/>
      <c r="K373" s="9"/>
    </row>
    <row r="374" spans="8:11" ht="17.25" customHeight="1" x14ac:dyDescent="0.25">
      <c r="H374" s="8"/>
      <c r="I374" s="6"/>
      <c r="K374" s="9"/>
    </row>
    <row r="375" spans="8:11" ht="17.25" customHeight="1" x14ac:dyDescent="0.25">
      <c r="H375" s="8"/>
      <c r="I375" s="6"/>
      <c r="K375" s="9"/>
    </row>
    <row r="376" spans="8:11" ht="17.25" customHeight="1" x14ac:dyDescent="0.25">
      <c r="H376" s="8"/>
      <c r="I376" s="6"/>
      <c r="K376" s="9"/>
    </row>
    <row r="377" spans="8:11" ht="17.25" customHeight="1" x14ac:dyDescent="0.25">
      <c r="H377" s="8"/>
      <c r="I377" s="6"/>
      <c r="K377" s="9"/>
    </row>
    <row r="378" spans="8:11" ht="17.25" customHeight="1" x14ac:dyDescent="0.25">
      <c r="H378" s="8"/>
      <c r="I378" s="6"/>
      <c r="K378" s="9"/>
    </row>
    <row r="379" spans="8:11" ht="17.25" customHeight="1" x14ac:dyDescent="0.25">
      <c r="H379" s="8"/>
      <c r="I379" s="6"/>
      <c r="K379" s="9"/>
    </row>
    <row r="380" spans="8:11" ht="17.25" customHeight="1" x14ac:dyDescent="0.25">
      <c r="H380" s="8"/>
      <c r="I380" s="6"/>
      <c r="K380" s="9"/>
    </row>
    <row r="381" spans="8:11" ht="17.25" customHeight="1" x14ac:dyDescent="0.25">
      <c r="H381" s="8"/>
      <c r="I381" s="6"/>
      <c r="K381" s="9"/>
    </row>
    <row r="382" spans="8:11" ht="17.25" customHeight="1" x14ac:dyDescent="0.25">
      <c r="H382" s="8"/>
      <c r="I382" s="6"/>
      <c r="K382" s="9"/>
    </row>
    <row r="383" spans="8:11" ht="17.25" customHeight="1" x14ac:dyDescent="0.25">
      <c r="H383" s="8"/>
      <c r="I383" s="6"/>
      <c r="K383" s="9"/>
    </row>
    <row r="384" spans="8:11" ht="17.25" customHeight="1" x14ac:dyDescent="0.25">
      <c r="H384" s="8"/>
      <c r="I384" s="6"/>
      <c r="K384" s="9"/>
    </row>
    <row r="385" spans="8:11" ht="17.25" customHeight="1" x14ac:dyDescent="0.25">
      <c r="H385" s="8"/>
      <c r="I385" s="6"/>
      <c r="K385" s="9"/>
    </row>
    <row r="386" spans="8:11" ht="17.25" customHeight="1" x14ac:dyDescent="0.25">
      <c r="H386" s="8"/>
      <c r="I386" s="6"/>
      <c r="K386" s="9"/>
    </row>
    <row r="387" spans="8:11" ht="17.25" customHeight="1" x14ac:dyDescent="0.25">
      <c r="H387" s="8"/>
      <c r="I387" s="6"/>
      <c r="K387" s="9"/>
    </row>
    <row r="388" spans="8:11" ht="17.25" customHeight="1" x14ac:dyDescent="0.25">
      <c r="H388" s="8"/>
      <c r="I388" s="6"/>
      <c r="K388" s="9"/>
    </row>
    <row r="389" spans="8:11" ht="17.25" customHeight="1" x14ac:dyDescent="0.25">
      <c r="H389" s="8"/>
      <c r="I389" s="6"/>
      <c r="K389" s="9"/>
    </row>
    <row r="390" spans="8:11" ht="17.25" customHeight="1" x14ac:dyDescent="0.25">
      <c r="H390" s="8"/>
      <c r="I390" s="6"/>
      <c r="K390" s="9"/>
    </row>
    <row r="391" spans="8:11" ht="17.25" customHeight="1" x14ac:dyDescent="0.25">
      <c r="H391" s="8"/>
      <c r="I391" s="6"/>
      <c r="K391" s="9"/>
    </row>
    <row r="392" spans="8:11" ht="17.25" customHeight="1" x14ac:dyDescent="0.25">
      <c r="H392" s="8"/>
      <c r="I392" s="6"/>
      <c r="K392" s="9"/>
    </row>
    <row r="393" spans="8:11" ht="17.25" customHeight="1" x14ac:dyDescent="0.25">
      <c r="H393" s="8"/>
      <c r="I393" s="6"/>
      <c r="K393" s="9"/>
    </row>
    <row r="394" spans="8:11" ht="17.25" customHeight="1" x14ac:dyDescent="0.25">
      <c r="H394" s="8"/>
      <c r="I394" s="6"/>
      <c r="K394" s="9"/>
    </row>
    <row r="395" spans="8:11" ht="17.25" customHeight="1" x14ac:dyDescent="0.25">
      <c r="H395" s="8"/>
      <c r="I395" s="6"/>
      <c r="K395" s="9"/>
    </row>
    <row r="396" spans="8:11" ht="17.25" customHeight="1" x14ac:dyDescent="0.25">
      <c r="H396" s="8"/>
      <c r="I396" s="6"/>
      <c r="K396" s="9"/>
    </row>
    <row r="397" spans="8:11" ht="17.25" customHeight="1" x14ac:dyDescent="0.25">
      <c r="H397" s="8"/>
      <c r="I397" s="6"/>
      <c r="K397" s="9"/>
    </row>
    <row r="398" spans="8:11" ht="17.25" customHeight="1" x14ac:dyDescent="0.25">
      <c r="H398" s="8"/>
      <c r="I398" s="6"/>
      <c r="K398" s="9"/>
    </row>
    <row r="399" spans="8:11" ht="17.25" customHeight="1" x14ac:dyDescent="0.25">
      <c r="H399" s="8"/>
      <c r="I399" s="6"/>
      <c r="K399" s="9"/>
    </row>
    <row r="400" spans="8:11" ht="17.25" customHeight="1" x14ac:dyDescent="0.25">
      <c r="H400" s="8"/>
      <c r="I400" s="6"/>
      <c r="K400" s="9"/>
    </row>
    <row r="401" spans="8:11" ht="17.25" customHeight="1" x14ac:dyDescent="0.25">
      <c r="H401" s="8"/>
      <c r="I401" s="6"/>
      <c r="K401" s="9"/>
    </row>
    <row r="402" spans="8:11" ht="17.25" customHeight="1" x14ac:dyDescent="0.25">
      <c r="H402" s="8"/>
      <c r="I402" s="6"/>
      <c r="K402" s="9"/>
    </row>
    <row r="403" spans="8:11" ht="17.25" customHeight="1" x14ac:dyDescent="0.25">
      <c r="H403" s="8"/>
      <c r="I403" s="6"/>
      <c r="K403" s="9"/>
    </row>
    <row r="404" spans="8:11" ht="17.25" customHeight="1" x14ac:dyDescent="0.25">
      <c r="H404" s="8"/>
      <c r="I404" s="6"/>
      <c r="K404" s="9"/>
    </row>
    <row r="405" spans="8:11" ht="17.25" customHeight="1" x14ac:dyDescent="0.25">
      <c r="H405" s="8"/>
      <c r="I405" s="6"/>
      <c r="K405" s="9"/>
    </row>
    <row r="406" spans="8:11" ht="17.25" customHeight="1" x14ac:dyDescent="0.25">
      <c r="H406" s="8"/>
      <c r="I406" s="6"/>
      <c r="K406" s="9"/>
    </row>
    <row r="407" spans="8:11" ht="17.25" customHeight="1" x14ac:dyDescent="0.25">
      <c r="H407" s="8"/>
      <c r="I407" s="6"/>
      <c r="K407" s="9"/>
    </row>
    <row r="408" spans="8:11" ht="17.25" customHeight="1" x14ac:dyDescent="0.25">
      <c r="H408" s="8"/>
      <c r="I408" s="6"/>
      <c r="K408" s="9"/>
    </row>
    <row r="409" spans="8:11" ht="17.25" customHeight="1" x14ac:dyDescent="0.25">
      <c r="H409" s="8"/>
      <c r="I409" s="6"/>
      <c r="K409" s="9"/>
    </row>
    <row r="410" spans="8:11" ht="17.25" customHeight="1" x14ac:dyDescent="0.25">
      <c r="H410" s="8"/>
      <c r="I410" s="6"/>
      <c r="K410" s="9"/>
    </row>
    <row r="411" spans="8:11" ht="17.25" customHeight="1" x14ac:dyDescent="0.25">
      <c r="H411" s="8"/>
      <c r="I411" s="6"/>
      <c r="K411" s="9"/>
    </row>
    <row r="412" spans="8:11" ht="17.25" customHeight="1" x14ac:dyDescent="0.25">
      <c r="H412" s="8"/>
      <c r="I412" s="6"/>
      <c r="K412" s="9"/>
    </row>
    <row r="413" spans="8:11" ht="17.25" customHeight="1" x14ac:dyDescent="0.25">
      <c r="H413" s="8"/>
      <c r="I413" s="6"/>
      <c r="K413" s="9"/>
    </row>
    <row r="414" spans="8:11" ht="17.25" customHeight="1" x14ac:dyDescent="0.25">
      <c r="H414" s="8"/>
      <c r="I414" s="6"/>
      <c r="K414" s="9"/>
    </row>
    <row r="415" spans="8:11" ht="17.25" customHeight="1" x14ac:dyDescent="0.25">
      <c r="H415" s="8"/>
      <c r="I415" s="6"/>
      <c r="K415" s="9"/>
    </row>
    <row r="416" spans="8:11" ht="17.25" customHeight="1" x14ac:dyDescent="0.25">
      <c r="H416" s="8"/>
      <c r="I416" s="6"/>
      <c r="K416" s="9"/>
    </row>
    <row r="417" spans="8:11" ht="17.25" customHeight="1" x14ac:dyDescent="0.25">
      <c r="H417" s="8"/>
      <c r="I417" s="6"/>
      <c r="K417" s="9"/>
    </row>
    <row r="418" spans="8:11" ht="17.25" customHeight="1" x14ac:dyDescent="0.25">
      <c r="H418" s="8"/>
      <c r="I418" s="6"/>
      <c r="K418" s="9"/>
    </row>
    <row r="419" spans="8:11" ht="17.25" customHeight="1" x14ac:dyDescent="0.25">
      <c r="H419" s="8"/>
      <c r="I419" s="6"/>
      <c r="K419" s="9"/>
    </row>
    <row r="420" spans="8:11" ht="17.25" customHeight="1" x14ac:dyDescent="0.25">
      <c r="H420" s="8"/>
      <c r="I420" s="6"/>
      <c r="K420" s="9"/>
    </row>
    <row r="421" spans="8:11" ht="17.25" customHeight="1" x14ac:dyDescent="0.25">
      <c r="H421" s="8"/>
      <c r="I421" s="6"/>
      <c r="K421" s="9"/>
    </row>
    <row r="422" spans="8:11" ht="17.25" customHeight="1" x14ac:dyDescent="0.25">
      <c r="H422" s="8"/>
      <c r="I422" s="6"/>
      <c r="K422" s="9"/>
    </row>
    <row r="423" spans="8:11" ht="17.25" customHeight="1" x14ac:dyDescent="0.25">
      <c r="H423" s="8"/>
      <c r="I423" s="6"/>
      <c r="K423" s="9"/>
    </row>
    <row r="424" spans="8:11" ht="17.25" customHeight="1" x14ac:dyDescent="0.25">
      <c r="H424" s="8"/>
      <c r="I424" s="6"/>
      <c r="K424" s="9"/>
    </row>
    <row r="425" spans="8:11" ht="17.25" customHeight="1" x14ac:dyDescent="0.25">
      <c r="H425" s="8"/>
      <c r="I425" s="6"/>
      <c r="K425" s="9"/>
    </row>
    <row r="426" spans="8:11" ht="17.25" customHeight="1" x14ac:dyDescent="0.25">
      <c r="H426" s="8"/>
      <c r="I426" s="6"/>
      <c r="K426" s="9"/>
    </row>
    <row r="427" spans="8:11" ht="17.25" customHeight="1" x14ac:dyDescent="0.25">
      <c r="H427" s="8"/>
      <c r="I427" s="6"/>
      <c r="K427" s="9"/>
    </row>
    <row r="428" spans="8:11" ht="17.25" customHeight="1" x14ac:dyDescent="0.25">
      <c r="H428" s="8"/>
      <c r="I428" s="6"/>
      <c r="K428" s="9"/>
    </row>
    <row r="429" spans="8:11" ht="17.25" customHeight="1" x14ac:dyDescent="0.25">
      <c r="H429" s="8"/>
      <c r="I429" s="6"/>
      <c r="K429" s="9"/>
    </row>
    <row r="430" spans="8:11" ht="17.25" customHeight="1" x14ac:dyDescent="0.25">
      <c r="H430" s="8"/>
      <c r="I430" s="6"/>
      <c r="K430" s="9"/>
    </row>
    <row r="431" spans="8:11" ht="17.25" customHeight="1" x14ac:dyDescent="0.25">
      <c r="H431" s="8"/>
      <c r="I431" s="6"/>
      <c r="K431" s="9"/>
    </row>
    <row r="432" spans="8:11" ht="17.25" customHeight="1" x14ac:dyDescent="0.25">
      <c r="H432" s="8"/>
      <c r="I432" s="6"/>
      <c r="K432" s="9"/>
    </row>
    <row r="433" spans="8:11" ht="17.25" customHeight="1" x14ac:dyDescent="0.25">
      <c r="H433" s="8"/>
      <c r="I433" s="6"/>
      <c r="K433" s="9"/>
    </row>
    <row r="434" spans="8:11" ht="17.25" customHeight="1" x14ac:dyDescent="0.25">
      <c r="H434" s="8"/>
      <c r="I434" s="6"/>
      <c r="K434" s="9"/>
    </row>
    <row r="435" spans="8:11" ht="17.25" customHeight="1" x14ac:dyDescent="0.25">
      <c r="H435" s="8"/>
      <c r="I435" s="6"/>
      <c r="K435" s="9"/>
    </row>
    <row r="436" spans="8:11" ht="17.25" customHeight="1" x14ac:dyDescent="0.25">
      <c r="H436" s="8"/>
      <c r="I436" s="6"/>
      <c r="K436" s="9"/>
    </row>
    <row r="437" spans="8:11" ht="17.25" customHeight="1" x14ac:dyDescent="0.25">
      <c r="H437" s="8"/>
      <c r="I437" s="6"/>
      <c r="K437" s="9"/>
    </row>
    <row r="438" spans="8:11" ht="17.25" customHeight="1" x14ac:dyDescent="0.25">
      <c r="H438" s="8"/>
      <c r="I438" s="6"/>
      <c r="K438" s="9"/>
    </row>
    <row r="439" spans="8:11" ht="17.25" customHeight="1" x14ac:dyDescent="0.25">
      <c r="H439" s="8"/>
      <c r="I439" s="6"/>
      <c r="K439" s="9"/>
    </row>
    <row r="440" spans="8:11" ht="17.25" customHeight="1" x14ac:dyDescent="0.25">
      <c r="H440" s="8"/>
      <c r="I440" s="6"/>
      <c r="K440" s="9"/>
    </row>
    <row r="441" spans="8:11" ht="17.25" customHeight="1" x14ac:dyDescent="0.25">
      <c r="H441" s="8"/>
      <c r="I441" s="6"/>
      <c r="K441" s="9"/>
    </row>
    <row r="442" spans="8:11" ht="17.25" customHeight="1" x14ac:dyDescent="0.25">
      <c r="H442" s="8"/>
      <c r="I442" s="6"/>
      <c r="K442" s="9"/>
    </row>
    <row r="443" spans="8:11" ht="17.25" customHeight="1" x14ac:dyDescent="0.25">
      <c r="H443" s="8"/>
      <c r="I443" s="6"/>
      <c r="K443" s="9"/>
    </row>
    <row r="444" spans="8:11" ht="17.25" customHeight="1" x14ac:dyDescent="0.25">
      <c r="H444" s="8"/>
      <c r="I444" s="6"/>
      <c r="K444" s="9"/>
    </row>
    <row r="445" spans="8:11" ht="17.25" customHeight="1" x14ac:dyDescent="0.25">
      <c r="H445" s="8"/>
      <c r="I445" s="6"/>
      <c r="K445" s="9"/>
    </row>
    <row r="446" spans="8:11" ht="17.25" customHeight="1" x14ac:dyDescent="0.25">
      <c r="H446" s="8"/>
      <c r="I446" s="6"/>
      <c r="K446" s="9"/>
    </row>
    <row r="447" spans="8:11" ht="17.25" customHeight="1" x14ac:dyDescent="0.25">
      <c r="H447" s="8"/>
      <c r="I447" s="6"/>
      <c r="K447" s="9"/>
    </row>
    <row r="448" spans="8:11" ht="17.25" customHeight="1" x14ac:dyDescent="0.25">
      <c r="H448" s="8"/>
      <c r="I448" s="6"/>
      <c r="K448" s="9"/>
    </row>
    <row r="449" spans="8:11" ht="17.25" customHeight="1" x14ac:dyDescent="0.25">
      <c r="H449" s="8"/>
      <c r="I449" s="6"/>
      <c r="K449" s="9"/>
    </row>
    <row r="450" spans="8:11" ht="17.25" customHeight="1" x14ac:dyDescent="0.25">
      <c r="H450" s="8"/>
      <c r="I450" s="6"/>
      <c r="K450" s="9"/>
    </row>
    <row r="451" spans="8:11" ht="17.25" customHeight="1" x14ac:dyDescent="0.25">
      <c r="H451" s="8"/>
      <c r="I451" s="6"/>
      <c r="K451" s="9"/>
    </row>
    <row r="452" spans="8:11" ht="17.25" customHeight="1" x14ac:dyDescent="0.25">
      <c r="H452" s="8"/>
      <c r="I452" s="6"/>
      <c r="K452" s="9"/>
    </row>
    <row r="453" spans="8:11" ht="17.25" customHeight="1" x14ac:dyDescent="0.25">
      <c r="H453" s="8"/>
      <c r="I453" s="6"/>
      <c r="K453" s="9"/>
    </row>
    <row r="454" spans="8:11" ht="17.25" customHeight="1" x14ac:dyDescent="0.25">
      <c r="H454" s="8"/>
      <c r="I454" s="6"/>
      <c r="K454" s="9"/>
    </row>
    <row r="455" spans="8:11" ht="17.25" customHeight="1" x14ac:dyDescent="0.25">
      <c r="H455" s="8"/>
      <c r="I455" s="6"/>
      <c r="K455" s="9"/>
    </row>
    <row r="456" spans="8:11" ht="17.25" customHeight="1" x14ac:dyDescent="0.25">
      <c r="H456" s="8"/>
      <c r="I456" s="6"/>
      <c r="K456" s="9"/>
    </row>
    <row r="457" spans="8:11" ht="17.25" customHeight="1" x14ac:dyDescent="0.25">
      <c r="H457" s="8"/>
      <c r="I457" s="6"/>
      <c r="K457" s="9"/>
    </row>
    <row r="458" spans="8:11" ht="17.25" customHeight="1" x14ac:dyDescent="0.25">
      <c r="H458" s="8"/>
      <c r="I458" s="6"/>
      <c r="K458" s="9"/>
    </row>
    <row r="459" spans="8:11" ht="17.25" customHeight="1" x14ac:dyDescent="0.25">
      <c r="H459" s="8"/>
      <c r="I459" s="6"/>
      <c r="K45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A993-3FF5-48EE-98A7-DB4BC5B4CDE7}">
  <dimension ref="A1:B5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32</v>
      </c>
      <c r="B1">
        <v>4.4999999999999998E-2</v>
      </c>
    </row>
    <row r="2" spans="1:2" x14ac:dyDescent="0.25">
      <c r="A2" t="s">
        <v>33</v>
      </c>
      <c r="B2">
        <v>-0.12</v>
      </c>
    </row>
    <row r="3" spans="1:2" x14ac:dyDescent="0.25">
      <c r="A3" t="s">
        <v>34</v>
      </c>
      <c r="B3">
        <v>-0.2</v>
      </c>
    </row>
    <row r="4" spans="1:2" x14ac:dyDescent="0.25">
      <c r="A4" t="s">
        <v>35</v>
      </c>
      <c r="B4">
        <v>0.48</v>
      </c>
    </row>
    <row r="5" spans="1:2" x14ac:dyDescent="0.25">
      <c r="A5" t="s">
        <v>36</v>
      </c>
      <c r="B5">
        <v>-0.34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hols 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 DC 5</dc:creator>
  <cp:lastModifiedBy>abhinav rishi</cp:lastModifiedBy>
  <dcterms:created xsi:type="dcterms:W3CDTF">2026-05-11T07:17:20Z</dcterms:created>
  <dcterms:modified xsi:type="dcterms:W3CDTF">2026-05-11T08:23:43Z</dcterms:modified>
</cp:coreProperties>
</file>